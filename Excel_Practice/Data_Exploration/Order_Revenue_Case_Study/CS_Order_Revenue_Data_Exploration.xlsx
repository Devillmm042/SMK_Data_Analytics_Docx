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Entri_DA_Documents\Excel_Practice\Data_Exploration\Order_Revenue_Case_Study\"/>
    </mc:Choice>
  </mc:AlternateContent>
  <xr:revisionPtr revIDLastSave="0" documentId="13_ncr:1_{DB039CFB-BD43-4E32-B1D6-97F87802ED48}" xr6:coauthVersionLast="47" xr6:coauthVersionMax="47" xr10:uidLastSave="{00000000-0000-0000-0000-000000000000}"/>
  <bookViews>
    <workbookView xWindow="28680" yWindow="-120" windowWidth="24240" windowHeight="13020" xr2:uid="{FCB12540-4D18-4DAA-B4ED-0865EFEBE90A}"/>
  </bookViews>
  <sheets>
    <sheet name="Order_Revenue_DB" sheetId="2" r:id="rId1"/>
    <sheet name="CS_Statistical" sheetId="3" r:id="rId2"/>
    <sheet name="CS_Mathematical_Aggregate" sheetId="4" r:id="rId3"/>
    <sheet name="CS_Logical" sheetId="5" r:id="rId4"/>
    <sheet name="CS_Text_Function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8" i="4"/>
  <c r="C7" i="4"/>
  <c r="C6" i="4"/>
  <c r="C5" i="4"/>
  <c r="C5" i="3" l="1"/>
  <c r="C6" i="3"/>
  <c r="C7" i="3"/>
  <c r="T2" i="2"/>
  <c r="S2" i="2"/>
  <c r="R2" i="2"/>
  <c r="Q2" i="2"/>
  <c r="P2" i="2"/>
  <c r="O2" i="2"/>
  <c r="N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S24" i="2"/>
  <c r="S25" i="2"/>
  <c r="S36" i="2"/>
  <c r="S37" i="2"/>
  <c r="S48" i="2"/>
  <c r="S49" i="2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R25" i="2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R37" i="2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R49" i="2"/>
  <c r="R50" i="2"/>
  <c r="S50" i="2" s="1"/>
  <c r="R51" i="2"/>
  <c r="S51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C8" i="3" a="1"/>
  <c r="C9" i="3" s="1"/>
  <c r="C8" i="3" l="1"/>
  <c r="C12" i="3"/>
  <c r="C11" i="3"/>
  <c r="C10" i="3"/>
</calcChain>
</file>

<file path=xl/sharedStrings.xml><?xml version="1.0" encoding="utf-8"?>
<sst xmlns="http://schemas.openxmlformats.org/spreadsheetml/2006/main" count="307" uniqueCount="162">
  <si>
    <t>No.</t>
  </si>
  <si>
    <t>Question</t>
  </si>
  <si>
    <t>Calculate the average number of units sold per order.</t>
  </si>
  <si>
    <t>Find the median unit price.</t>
  </si>
  <si>
    <t>Find the most frequently occurring number of units sold.</t>
  </si>
  <si>
    <t>Find all modes in the Units Sold column.</t>
  </si>
  <si>
    <t>Calculate the total number of units sold.</t>
  </si>
  <si>
    <t>Calculate total revenue from orders where more than 30 units were sold.</t>
  </si>
  <si>
    <t>Find the minimum unit price.</t>
  </si>
  <si>
    <t>Find the maximum unit price.</t>
  </si>
  <si>
    <t>Count the numerical entries in the Units Sold column.</t>
  </si>
  <si>
    <t>Count blank cells in the Product column.</t>
  </si>
  <si>
    <t>Count orders with a discount greater than or equal to 10%.</t>
  </si>
  <si>
    <t>Calculate average revenue for orders with a discount greater than 10%.</t>
  </si>
  <si>
    <t>Calculate average revenue for Electronics orders with a discount of at least 10%.</t>
  </si>
  <si>
    <t>Display "High Sales" if units sold are greater than 30; otherwise, display "Low Sales".</t>
  </si>
  <si>
    <t>Check whether units sold are greater than 20 AND the discount is at least 10%.</t>
  </si>
  <si>
    <t>Check whether the order belongs to the North OR South region.</t>
  </si>
  <si>
    <t>Check whether the discount is NOT zero.</t>
  </si>
  <si>
    <t>Extract the last four characters from the Order ID.</t>
  </si>
  <si>
    <t>Extract the first three characters from the Order ID.</t>
  </si>
  <si>
    <t>Extract the four-digit order number from the Order ID.</t>
  </si>
  <si>
    <t>Convert the Region name to uppercase.</t>
  </si>
  <si>
    <t>Convert the Product name to lowercase.</t>
  </si>
  <si>
    <t>Convert the Product name to proper case.</t>
  </si>
  <si>
    <t>Count the characters in the Product name.</t>
  </si>
  <si>
    <t>Order ID</t>
  </si>
  <si>
    <t>Date</t>
  </si>
  <si>
    <t>Region</t>
  </si>
  <si>
    <t>Product</t>
  </si>
  <si>
    <t>Category</t>
  </si>
  <si>
    <t>Units Sold</t>
  </si>
  <si>
    <t>Unit Price ($)</t>
  </si>
  <si>
    <t>Discount (%)</t>
  </si>
  <si>
    <t>Total Revenue ($)</t>
  </si>
  <si>
    <t>ORD-1001</t>
  </si>
  <si>
    <t>11-23-2024</t>
  </si>
  <si>
    <t>North</t>
  </si>
  <si>
    <t>Notebook Set</t>
  </si>
  <si>
    <t>Stationery</t>
  </si>
  <si>
    <t>ORD-1002</t>
  </si>
  <si>
    <t>Central</t>
  </si>
  <si>
    <t>Wireless Mouse</t>
  </si>
  <si>
    <t>Electronics</t>
  </si>
  <si>
    <t>ORD-1003</t>
  </si>
  <si>
    <t>01-17-2024</t>
  </si>
  <si>
    <t>Desk Lamp</t>
  </si>
  <si>
    <t>Furniture</t>
  </si>
  <si>
    <t>ORD-1005</t>
  </si>
  <si>
    <t>West</t>
  </si>
  <si>
    <t>Marker Set</t>
  </si>
  <si>
    <t>ORD-1006</t>
  </si>
  <si>
    <t>03-22-2024</t>
  </si>
  <si>
    <t>East</t>
  </si>
  <si>
    <t>ORD-1007</t>
  </si>
  <si>
    <t>06-21-2024</t>
  </si>
  <si>
    <t>Monitor 27"</t>
  </si>
  <si>
    <t>ORD-1008</t>
  </si>
  <si>
    <t>06-25-2024</t>
  </si>
  <si>
    <t>Laptop Pro</t>
  </si>
  <si>
    <t>ORD-1009</t>
  </si>
  <si>
    <t>11-17-2024</t>
  </si>
  <si>
    <t>ORD-1011</t>
  </si>
  <si>
    <t>01-24-2024</t>
  </si>
  <si>
    <t>ORD-1012</t>
  </si>
  <si>
    <t>07-13-2024</t>
  </si>
  <si>
    <t>Pen Pack</t>
  </si>
  <si>
    <t>ORD-1013</t>
  </si>
  <si>
    <t>06-30-2024</t>
  </si>
  <si>
    <t>ORD-1014</t>
  </si>
  <si>
    <t>09-30-2024</t>
  </si>
  <si>
    <t>South</t>
  </si>
  <si>
    <t>Keyboard</t>
  </si>
  <si>
    <t>ORD-1015</t>
  </si>
  <si>
    <t>ORD-1016</t>
  </si>
  <si>
    <t>04-27-2024</t>
  </si>
  <si>
    <t>ORD-1017</t>
  </si>
  <si>
    <t>04-18-2024</t>
  </si>
  <si>
    <t>ORD-1018</t>
  </si>
  <si>
    <t>07-21-2024</t>
  </si>
  <si>
    <t>ORD-1019</t>
  </si>
  <si>
    <t>10-14-2024</t>
  </si>
  <si>
    <t>ORD-1020</t>
  </si>
  <si>
    <t>07-23-2024</t>
  </si>
  <si>
    <t>Office Chair</t>
  </si>
  <si>
    <t>02-16-2024</t>
  </si>
  <si>
    <t>ORD-1022</t>
  </si>
  <si>
    <t>12-14-2024</t>
  </si>
  <si>
    <t>ORD-1024</t>
  </si>
  <si>
    <t>ORD-1025</t>
  </si>
  <si>
    <t>02-27-2024</t>
  </si>
  <si>
    <t>ORD-1026</t>
  </si>
  <si>
    <t>05-14-2024</t>
  </si>
  <si>
    <t>Filing Cabinet</t>
  </si>
  <si>
    <t>ORD-1027</t>
  </si>
  <si>
    <t>ORD-1028</t>
  </si>
  <si>
    <t>03-23-2024</t>
  </si>
  <si>
    <t>ORD-1029</t>
  </si>
  <si>
    <t>01-30-2024</t>
  </si>
  <si>
    <t>ORD-1031</t>
  </si>
  <si>
    <t>ORD-1032</t>
  </si>
  <si>
    <t>ORD-1033</t>
  </si>
  <si>
    <t>ORD-1034</t>
  </si>
  <si>
    <t>ORD-1035</t>
  </si>
  <si>
    <t>ORD-1036</t>
  </si>
  <si>
    <t>10-28-2024</t>
  </si>
  <si>
    <t>ORD-1037</t>
  </si>
  <si>
    <t>ORD-1038</t>
  </si>
  <si>
    <t>ORD-1039</t>
  </si>
  <si>
    <t>10-19-2024</t>
  </si>
  <si>
    <t>ORD-1040</t>
  </si>
  <si>
    <t>ORD-1041</t>
  </si>
  <si>
    <t>07-29-2024</t>
  </si>
  <si>
    <t>ORD-1042</t>
  </si>
  <si>
    <t>06-22-2024</t>
  </si>
  <si>
    <t>ORD-1043</t>
  </si>
  <si>
    <t>08-17-2024</t>
  </si>
  <si>
    <t>ORD-1044</t>
  </si>
  <si>
    <t>ORD-1045</t>
  </si>
  <si>
    <t>11-29-2024</t>
  </si>
  <si>
    <t>ORD-1046</t>
  </si>
  <si>
    <t>03-26-2024</t>
  </si>
  <si>
    <t>ORD-1047</t>
  </si>
  <si>
    <t>01-31-2024</t>
  </si>
  <si>
    <t>ORD-1048</t>
  </si>
  <si>
    <t>08-20-2024</t>
  </si>
  <si>
    <t>ORD-1049</t>
  </si>
  <si>
    <t>03-20-2024</t>
  </si>
  <si>
    <t>ORD-1050</t>
  </si>
  <si>
    <t>CASE STUDY - STATISTICAL FUNCTIONS</t>
  </si>
  <si>
    <t>Output</t>
  </si>
  <si>
    <t>CASE STUDY - MATHEMATICAL &amp; AGGREGATE FUNCTIONS</t>
  </si>
  <si>
    <t>CASE STUDY - LOGICAL FUNCTIONS</t>
  </si>
  <si>
    <t>"=IF([@[Units Sold]]&gt;30,"High Sales","Low Sales")"</t>
  </si>
  <si>
    <t>IF [Unit Sold]</t>
  </si>
  <si>
    <t>"=AND([@[Units Sold]]&gt;20,[@[Discount (%)]]&gt;=10)"</t>
  </si>
  <si>
    <t>AND [Unit Sold] [Discount]</t>
  </si>
  <si>
    <t>OR [Region]</t>
  </si>
  <si>
    <t>"=OR([@Region]="North",[@Region]="South")"</t>
  </si>
  <si>
    <t>NOT [Discount]</t>
  </si>
  <si>
    <t>"=NOT([@[Discount (%)]]=0)" / "=NOT([@[Discount (%)]]&lt;&gt;0)"</t>
  </si>
  <si>
    <t>CASE STUDY - TEXT FUNCTIONS</t>
  </si>
  <si>
    <t>RIGHT [Order ID]</t>
  </si>
  <si>
    <t>LEFT [Order ID]</t>
  </si>
  <si>
    <t>ORD-1004</t>
  </si>
  <si>
    <t>ORD-1010</t>
  </si>
  <si>
    <t>ORD-1021</t>
  </si>
  <si>
    <t>ORD-1023</t>
  </si>
  <si>
    <t>ORD-1030</t>
  </si>
  <si>
    <t>MID [Order ID]</t>
  </si>
  <si>
    <t>UPPER [Region]</t>
  </si>
  <si>
    <t>LOWER [Product]</t>
  </si>
  <si>
    <t>PROPER [Product]</t>
  </si>
  <si>
    <t>LEN [Product]</t>
  </si>
  <si>
    <t>"=RIGHT([@[Order ID]],4)"</t>
  </si>
  <si>
    <t>"=LEFT([@[Order ID]],3)"</t>
  </si>
  <si>
    <t>"=MID([@[Order ID]],5,4)"</t>
  </si>
  <si>
    <t>"=UPPER([@Region])"</t>
  </si>
  <si>
    <t>"=LOWER([@Product])"</t>
  </si>
  <si>
    <t>"=PROPER([@[LOWER '[Product']]])"</t>
  </si>
  <si>
    <t>"=LEN([@Product])"</t>
  </si>
  <si>
    <r>
      <t>Output Formula</t>
    </r>
    <r>
      <rPr>
        <b/>
        <i/>
        <sz val="15"/>
        <color theme="1"/>
        <rFont val="Aptos Display"/>
        <family val="2"/>
        <scheme val="major"/>
      </rPr>
      <t xml:space="preserve"> [Output Refer "Order_Revenue_DB"]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</si>
</sst>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24"/>
      <color theme="1"/>
      <name val="Aptos Display"/>
      <family val="2"/>
      <scheme val="major"/>
    </font>
    <font>
      <b/>
      <sz val="15"/>
      <color theme="1"/>
      <name val="Aptos Display"/>
      <family val="2"/>
      <scheme val="major"/>
    </font>
    <font>
      <sz val="15"/>
      <color theme="1"/>
      <name val="Aptos Display"/>
      <family val="2"/>
      <scheme val="major"/>
    </font>
    <font>
      <b/>
      <sz val="15"/>
      <color theme="1"/>
      <name val="Aptos Narrow"/>
      <family val="2"/>
      <scheme val="minor"/>
    </font>
    <font>
      <b/>
      <i/>
      <sz val="15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/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/>
      <top/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4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4" fontId="1" fillId="3" borderId="5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14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4" fillId="7" borderId="10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5" fillId="6" borderId="18" xfId="0" applyFont="1" applyFill="1" applyBorder="1" applyAlignment="1">
      <alignment vertical="center" wrapText="1"/>
    </xf>
    <xf numFmtId="0" fontId="5" fillId="6" borderId="19" xfId="0" applyFont="1" applyFill="1" applyBorder="1" applyAlignment="1">
      <alignment vertical="center" wrapText="1"/>
    </xf>
    <xf numFmtId="0" fontId="5" fillId="6" borderId="20" xfId="0" applyFont="1" applyFill="1" applyBorder="1" applyAlignment="1">
      <alignment vertical="center" wrapText="1"/>
    </xf>
    <xf numFmtId="0" fontId="4" fillId="7" borderId="26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5" fillId="6" borderId="18" xfId="0" applyFont="1" applyFill="1" applyBorder="1"/>
    <xf numFmtId="0" fontId="5" fillId="6" borderId="19" xfId="0" applyFont="1" applyFill="1" applyBorder="1"/>
    <xf numFmtId="0" fontId="4" fillId="6" borderId="18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vertical="center" wrapText="1"/>
    </xf>
    <xf numFmtId="0" fontId="5" fillId="6" borderId="17" xfId="0" applyFont="1" applyFill="1" applyBorder="1" applyAlignment="1">
      <alignment vertical="center" wrapText="1"/>
    </xf>
    <xf numFmtId="0" fontId="4" fillId="6" borderId="21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5" fillId="6" borderId="18" xfId="0" applyFont="1" applyFill="1" applyBorder="1" applyAlignment="1">
      <alignment horizontal="right"/>
    </xf>
    <xf numFmtId="0" fontId="5" fillId="6" borderId="19" xfId="0" applyFont="1" applyFill="1" applyBorder="1" applyAlignment="1">
      <alignment horizontal="right"/>
    </xf>
    <xf numFmtId="0" fontId="5" fillId="6" borderId="18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28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/>
    </xf>
    <xf numFmtId="0" fontId="5" fillId="6" borderId="10" xfId="0" applyFont="1" applyFill="1" applyBorder="1" applyAlignment="1">
      <alignment vertical="center" wrapText="1"/>
    </xf>
    <xf numFmtId="0" fontId="4" fillId="6" borderId="21" xfId="0" applyFont="1" applyFill="1" applyBorder="1" applyAlignment="1">
      <alignment horizontal="left"/>
    </xf>
    <xf numFmtId="0" fontId="4" fillId="6" borderId="19" xfId="0" applyFont="1" applyFill="1" applyBorder="1" applyAlignment="1">
      <alignment horizontal="left"/>
    </xf>
    <xf numFmtId="0" fontId="4" fillId="6" borderId="20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right" vertical="center"/>
    </xf>
    <xf numFmtId="0" fontId="5" fillId="6" borderId="20" xfId="0" applyFont="1" applyFill="1" applyBorder="1" applyAlignment="1">
      <alignment horizontal="right" vertical="center"/>
    </xf>
    <xf numFmtId="0" fontId="5" fillId="6" borderId="19" xfId="0" applyFont="1" applyFill="1" applyBorder="1" applyAlignment="1">
      <alignment vertical="center"/>
    </xf>
    <xf numFmtId="0" fontId="5" fillId="6" borderId="20" xfId="0" applyFont="1" applyFill="1" applyBorder="1" applyAlignment="1">
      <alignment vertical="center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8EB71-59F5-4C93-8DC3-4C4FB1373C59}" name="Revenue_DB" displayName="Revenue_DB" ref="A1:T51" totalsRowShown="0" headerRowDxfId="32" dataDxfId="30" headerRowBorderDxfId="31" tableBorderDxfId="29" totalsRowBorderDxfId="28">
  <autoFilter ref="A1:T51" xr:uid="{A388EB71-59F5-4C93-8DC3-4C4FB1373C59}"/>
  <tableColumns count="20">
    <tableColumn id="1" xr3:uid="{818FB0AF-DD38-430A-9973-FC0DDF6D83E0}" name="Order ID" dataDxfId="27"/>
    <tableColumn id="2" xr3:uid="{A3357A42-9258-4691-82C8-F45655B41494}" name="Date"/>
    <tableColumn id="3" xr3:uid="{717F6B92-F446-43E5-82E4-BFDFCD99FBDE}" name="Region" dataDxfId="26"/>
    <tableColumn id="4" xr3:uid="{AF6D0420-CC5D-4A54-A0BD-C0E1E5542E48}" name="Product" dataDxfId="25"/>
    <tableColumn id="5" xr3:uid="{7249F5B5-86C9-4CCC-94E6-14AC05A67B1D}" name="Category" dataDxfId="24"/>
    <tableColumn id="6" xr3:uid="{5FF2BB19-BC7E-448C-BF1D-9AB22452A65F}" name="Units Sold" dataDxfId="23"/>
    <tableColumn id="7" xr3:uid="{E70251FE-030F-405C-8D0D-52E67DCA3899}" name="Unit Price ($)" dataDxfId="22"/>
    <tableColumn id="8" xr3:uid="{C45E8723-444F-4595-A1FB-809492433008}" name="Discount (%)" dataDxfId="21"/>
    <tableColumn id="9" xr3:uid="{A1111A95-EE06-45CE-B814-C71C5A18B0F9}" name="Total Revenue ($)" dataDxfId="20"/>
    <tableColumn id="10" xr3:uid="{86B49D9C-6B6E-4E6D-A75B-8B901645720C}" name="IF [Unit Sold]" dataDxfId="19">
      <calculatedColumnFormula>IF(Revenue_DB[[#This Row],[Units Sold]]&gt;30,"High Sales","Low Sales")</calculatedColumnFormula>
    </tableColumn>
    <tableColumn id="11" xr3:uid="{591DB0AA-B2EC-429D-BA54-EA9EB79B0281}" name="AND [Unit Sold] [Discount]" dataDxfId="18">
      <calculatedColumnFormula>AND(Revenue_DB[[#This Row],[Units Sold]]&gt;20,Revenue_DB[[#This Row],[Discount (%)]]&gt;=10)</calculatedColumnFormula>
    </tableColumn>
    <tableColumn id="12" xr3:uid="{0C8BAF21-437E-47FA-A2CD-9350E3757910}" name="OR [Region]" dataDxfId="17">
      <calculatedColumnFormula>OR(Revenue_DB[[#This Row],[Region]]="North",Revenue_DB[[#This Row],[Region]]="South")</calculatedColumnFormula>
    </tableColumn>
    <tableColumn id="13" xr3:uid="{DBD4A937-ED0E-4690-B700-ECD75DC1FFEF}" name="NOT [Discount]" dataDxfId="16">
      <calculatedColumnFormula>NOT(Revenue_DB[[#This Row],[Discount (%)]]=0)</calculatedColumnFormula>
    </tableColumn>
    <tableColumn id="14" xr3:uid="{A26B563E-B026-4282-A3F9-C8269CBD6F33}" name="RIGHT [Order ID]" dataDxfId="15">
      <calculatedColumnFormula>RIGHT(Revenue_DB[[#This Row],[Order ID]],4)</calculatedColumnFormula>
    </tableColumn>
    <tableColumn id="15" xr3:uid="{0D1C2CD5-D3E4-414C-8851-071F499EF2C1}" name="LEFT [Order ID]" dataDxfId="14">
      <calculatedColumnFormula>LEFT(Revenue_DB[[#This Row],[Order ID]],3)</calculatedColumnFormula>
    </tableColumn>
    <tableColumn id="16" xr3:uid="{B8492D9D-0895-49E0-B31C-4DE065CD242C}" name="MID [Order ID]" dataDxfId="13">
      <calculatedColumnFormula>MID(Revenue_DB[[#This Row],[Order ID]],5,4)</calculatedColumnFormula>
    </tableColumn>
    <tableColumn id="17" xr3:uid="{59C6A6D5-D9C0-48D2-BB1A-C93DA680BD9D}" name="UPPER [Region]" dataDxfId="12">
      <calculatedColumnFormula>UPPER(Revenue_DB[[#This Row],[Region]])</calculatedColumnFormula>
    </tableColumn>
    <tableColumn id="18" xr3:uid="{443C062C-3B10-4763-8D2E-ECC3A9DF5FA0}" name="LOWER [Product]" dataDxfId="11">
      <calculatedColumnFormula>LOWER(Revenue_DB[[#This Row],[Product]])</calculatedColumnFormula>
    </tableColumn>
    <tableColumn id="19" xr3:uid="{65394E28-B9E8-4B58-852C-CD8B9B77BE8B}" name="PROPER [Product]" dataDxfId="10">
      <calculatedColumnFormula>PROPER(Revenue_DB[[#This Row],[LOWER '[Product']]])</calculatedColumnFormula>
    </tableColumn>
    <tableColumn id="20" xr3:uid="{E78956A6-5936-4D43-86C9-8D57D2422EF3}" name="LEN [Product]" dataDxfId="9">
      <calculatedColumnFormula>LEN(Revenue_DB[[#This Row],[Product]])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2448-1791-45D5-BC0D-F71040CC7697}">
  <sheetPr>
    <tabColor theme="3" tint="0.249977111117893"/>
  </sheetPr>
  <dimension ref="A1:T51"/>
  <sheetViews>
    <sheetView tabSelected="1" workbookViewId="0">
      <selection activeCell="L16" sqref="L16"/>
    </sheetView>
  </sheetViews>
  <sheetFormatPr defaultRowHeight="14.4" x14ac:dyDescent="0.3"/>
  <cols>
    <col min="1" max="1" width="16.6640625" style="4" customWidth="1"/>
    <col min="2" max="2" width="16.109375" style="4" customWidth="1"/>
    <col min="3" max="3" width="16.5546875" style="4" customWidth="1"/>
    <col min="4" max="4" width="15.44140625" style="4" customWidth="1"/>
    <col min="5" max="5" width="14.88671875" style="4" customWidth="1"/>
    <col min="6" max="6" width="16.21875" style="4" customWidth="1"/>
    <col min="7" max="7" width="18.77734375" style="4" customWidth="1"/>
    <col min="8" max="8" width="19.21875" style="4" customWidth="1"/>
    <col min="9" max="10" width="23.88671875" style="4" customWidth="1"/>
    <col min="11" max="11" width="31.109375" style="4" customWidth="1"/>
    <col min="12" max="13" width="23.88671875" style="4" customWidth="1"/>
    <col min="14" max="14" width="21.33203125" style="4" customWidth="1"/>
    <col min="15" max="15" width="20.33203125" style="4" customWidth="1"/>
    <col min="16" max="16" width="19.21875" style="4" customWidth="1"/>
    <col min="17" max="17" width="23.88671875" style="4" customWidth="1"/>
    <col min="18" max="19" width="23.109375" style="4" customWidth="1"/>
    <col min="20" max="20" width="19.21875" style="4" customWidth="1"/>
    <col min="21" max="16384" width="8.88671875" style="4"/>
  </cols>
  <sheetData>
    <row r="1" spans="1:20" ht="15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3" t="s">
        <v>34</v>
      </c>
      <c r="J1" s="2" t="s">
        <v>134</v>
      </c>
      <c r="K1" s="2" t="s">
        <v>136</v>
      </c>
      <c r="L1" s="2" t="s">
        <v>137</v>
      </c>
      <c r="M1" s="2" t="s">
        <v>139</v>
      </c>
      <c r="N1" s="2" t="s">
        <v>142</v>
      </c>
      <c r="O1" s="2" t="s">
        <v>143</v>
      </c>
      <c r="P1" s="2" t="s">
        <v>149</v>
      </c>
      <c r="Q1" s="2" t="s">
        <v>150</v>
      </c>
      <c r="R1" s="2" t="s">
        <v>151</v>
      </c>
      <c r="S1" s="2" t="s">
        <v>152</v>
      </c>
      <c r="T1" s="2" t="s">
        <v>153</v>
      </c>
    </row>
    <row r="2" spans="1:20" ht="15" thickBot="1" x14ac:dyDescent="0.35">
      <c r="A2" s="5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>
        <v>16</v>
      </c>
      <c r="G2" s="6">
        <v>19.989999999999998</v>
      </c>
      <c r="H2" s="6">
        <v>5</v>
      </c>
      <c r="I2" s="7">
        <v>303.85000000000002</v>
      </c>
      <c r="J2" s="37" t="str">
        <f>IF(Revenue_DB[[#This Row],[Units Sold]]&gt;30,"High Sales","Low Sales")</f>
        <v>Low Sales</v>
      </c>
      <c r="K2" s="37" t="b">
        <f>AND(Revenue_DB[[#This Row],[Units Sold]]&gt;20,Revenue_DB[[#This Row],[Discount (%)]]&gt;=10)</f>
        <v>0</v>
      </c>
      <c r="L2" s="7" t="b">
        <f>OR(Revenue_DB[[#This Row],[Region]]="North",Revenue_DB[[#This Row],[Region]]="South")</f>
        <v>1</v>
      </c>
      <c r="M2" s="7" t="b">
        <f>NOT(Revenue_DB[[#This Row],[Discount (%)]]=0)</f>
        <v>1</v>
      </c>
      <c r="N2" s="6" t="str">
        <f>RIGHT(Revenue_DB[[#This Row],[Order ID]],4)</f>
        <v>1001</v>
      </c>
      <c r="O2" s="6" t="str">
        <f>LEFT(Revenue_DB[[#This Row],[Order ID]],3)</f>
        <v>ORD</v>
      </c>
      <c r="P2" s="6" t="str">
        <f>MID(Revenue_DB[[#This Row],[Order ID]],5,4)</f>
        <v>1001</v>
      </c>
      <c r="Q2" s="6" t="str">
        <f>UPPER(Revenue_DB[[#This Row],[Region]])</f>
        <v>NORTH</v>
      </c>
      <c r="R2" s="6" t="str">
        <f>LOWER(Revenue_DB[[#This Row],[Product]])</f>
        <v>notebook set</v>
      </c>
      <c r="S2" s="6" t="str">
        <f>PROPER(Revenue_DB[[#This Row],[LOWER '[Product']]])</f>
        <v>Notebook Set</v>
      </c>
      <c r="T2" s="6">
        <f>LEN(Revenue_DB[[#This Row],[Product]])</f>
        <v>12</v>
      </c>
    </row>
    <row r="3" spans="1:20" ht="15" thickBot="1" x14ac:dyDescent="0.35">
      <c r="A3" s="8" t="s">
        <v>40</v>
      </c>
      <c r="B3" s="9">
        <v>45629</v>
      </c>
      <c r="C3" s="10" t="s">
        <v>41</v>
      </c>
      <c r="D3" s="10" t="s">
        <v>42</v>
      </c>
      <c r="E3" s="10" t="s">
        <v>43</v>
      </c>
      <c r="F3" s="10">
        <v>38</v>
      </c>
      <c r="G3" s="10">
        <v>29.99</v>
      </c>
      <c r="H3" s="10">
        <v>15</v>
      </c>
      <c r="I3" s="11">
        <v>968.68</v>
      </c>
      <c r="J3" s="10" t="str">
        <f>IF(Revenue_DB[[#This Row],[Units Sold]]&gt;30,"High Sales","Low Sales")</f>
        <v>High Sales</v>
      </c>
      <c r="K3" s="10" t="b">
        <f>AND(Revenue_DB[[#This Row],[Units Sold]]&gt;20,Revenue_DB[[#This Row],[Discount (%)]]&gt;=10)</f>
        <v>1</v>
      </c>
      <c r="L3" s="11" t="b">
        <f>OR(Revenue_DB[[#This Row],[Region]]="North",Revenue_DB[[#This Row],[Region]]="South")</f>
        <v>0</v>
      </c>
      <c r="M3" s="11" t="b">
        <f>NOT(Revenue_DB[[#This Row],[Discount (%)]]=0)</f>
        <v>1</v>
      </c>
      <c r="N3" s="10" t="str">
        <f>RIGHT(Revenue_DB[[#This Row],[Order ID]],4)</f>
        <v>1002</v>
      </c>
      <c r="O3" s="10" t="str">
        <f>LEFT(Revenue_DB[[#This Row],[Order ID]],3)</f>
        <v>ORD</v>
      </c>
      <c r="P3" s="10" t="str">
        <f>MID(Revenue_DB[[#This Row],[Order ID]],5,4)</f>
        <v>1002</v>
      </c>
      <c r="Q3" s="10" t="str">
        <f>UPPER(Revenue_DB[[#This Row],[Region]])</f>
        <v>CENTRAL</v>
      </c>
      <c r="R3" s="10" t="str">
        <f>LOWER(Revenue_DB[[#This Row],[Product]])</f>
        <v>wireless mouse</v>
      </c>
      <c r="S3" s="10" t="str">
        <f>PROPER(Revenue_DB[[#This Row],[LOWER '[Product']]])</f>
        <v>Wireless Mouse</v>
      </c>
      <c r="T3" s="10">
        <f>LEN(Revenue_DB[[#This Row],[Product]])</f>
        <v>14</v>
      </c>
    </row>
    <row r="4" spans="1:20" ht="15" thickBot="1" x14ac:dyDescent="0.35">
      <c r="A4" s="5" t="s">
        <v>44</v>
      </c>
      <c r="B4" s="6" t="s">
        <v>45</v>
      </c>
      <c r="C4" s="6" t="s">
        <v>37</v>
      </c>
      <c r="D4" s="6" t="s">
        <v>46</v>
      </c>
      <c r="E4" s="6" t="s">
        <v>47</v>
      </c>
      <c r="F4" s="6">
        <v>15</v>
      </c>
      <c r="G4" s="6">
        <v>49.99</v>
      </c>
      <c r="H4" s="6">
        <v>20</v>
      </c>
      <c r="I4" s="7">
        <v>599.88</v>
      </c>
      <c r="J4" s="6" t="str">
        <f>IF(Revenue_DB[[#This Row],[Units Sold]]&gt;30,"High Sales","Low Sales")</f>
        <v>Low Sales</v>
      </c>
      <c r="K4" s="6" t="b">
        <f>AND(Revenue_DB[[#This Row],[Units Sold]]&gt;20,Revenue_DB[[#This Row],[Discount (%)]]&gt;=10)</f>
        <v>0</v>
      </c>
      <c r="L4" s="7" t="b">
        <f>OR(Revenue_DB[[#This Row],[Region]]="North",Revenue_DB[[#This Row],[Region]]="South")</f>
        <v>1</v>
      </c>
      <c r="M4" s="7" t="b">
        <f>NOT(Revenue_DB[[#This Row],[Discount (%)]]=0)</f>
        <v>1</v>
      </c>
      <c r="N4" s="6" t="str">
        <f>RIGHT(Revenue_DB[[#This Row],[Order ID]],4)</f>
        <v>1003</v>
      </c>
      <c r="O4" s="6" t="str">
        <f>LEFT(Revenue_DB[[#This Row],[Order ID]],3)</f>
        <v>ORD</v>
      </c>
      <c r="P4" s="6" t="str">
        <f>MID(Revenue_DB[[#This Row],[Order ID]],5,4)</f>
        <v>1003</v>
      </c>
      <c r="Q4" s="6" t="str">
        <f>UPPER(Revenue_DB[[#This Row],[Region]])</f>
        <v>NORTH</v>
      </c>
      <c r="R4" s="6" t="str">
        <f>LOWER(Revenue_DB[[#This Row],[Product]])</f>
        <v>desk lamp</v>
      </c>
      <c r="S4" s="6" t="str">
        <f>PROPER(Revenue_DB[[#This Row],[LOWER '[Product']]])</f>
        <v>Desk Lamp</v>
      </c>
      <c r="T4" s="6">
        <f>LEN(Revenue_DB[[#This Row],[Product]])</f>
        <v>9</v>
      </c>
    </row>
    <row r="5" spans="1:20" ht="15" thickBot="1" x14ac:dyDescent="0.35">
      <c r="A5" s="5" t="s">
        <v>144</v>
      </c>
      <c r="B5" s="9">
        <v>45393</v>
      </c>
      <c r="C5" s="10" t="s">
        <v>41</v>
      </c>
      <c r="D5" s="10" t="s">
        <v>46</v>
      </c>
      <c r="E5" s="10" t="s">
        <v>47</v>
      </c>
      <c r="F5" s="10">
        <v>46</v>
      </c>
      <c r="G5" s="10">
        <v>49.99</v>
      </c>
      <c r="H5" s="10">
        <v>20</v>
      </c>
      <c r="I5" s="11">
        <v>1839.63</v>
      </c>
      <c r="J5" s="10" t="str">
        <f>IF(Revenue_DB[[#This Row],[Units Sold]]&gt;30,"High Sales","Low Sales")</f>
        <v>High Sales</v>
      </c>
      <c r="K5" s="10" t="b">
        <f>AND(Revenue_DB[[#This Row],[Units Sold]]&gt;20,Revenue_DB[[#This Row],[Discount (%)]]&gt;=10)</f>
        <v>1</v>
      </c>
      <c r="L5" s="11" t="b">
        <f>OR(Revenue_DB[[#This Row],[Region]]="North",Revenue_DB[[#This Row],[Region]]="South")</f>
        <v>0</v>
      </c>
      <c r="M5" s="11" t="b">
        <f>NOT(Revenue_DB[[#This Row],[Discount (%)]]=0)</f>
        <v>1</v>
      </c>
      <c r="N5" s="10" t="str">
        <f>RIGHT(Revenue_DB[[#This Row],[Order ID]],4)</f>
        <v>1004</v>
      </c>
      <c r="O5" s="10" t="str">
        <f>LEFT(Revenue_DB[[#This Row],[Order ID]],3)</f>
        <v>ORD</v>
      </c>
      <c r="P5" s="10" t="str">
        <f>MID(Revenue_DB[[#This Row],[Order ID]],5,4)</f>
        <v>1004</v>
      </c>
      <c r="Q5" s="10" t="str">
        <f>UPPER(Revenue_DB[[#This Row],[Region]])</f>
        <v>CENTRAL</v>
      </c>
      <c r="R5" s="10" t="str">
        <f>LOWER(Revenue_DB[[#This Row],[Product]])</f>
        <v>desk lamp</v>
      </c>
      <c r="S5" s="10" t="str">
        <f>PROPER(Revenue_DB[[#This Row],[LOWER '[Product']]])</f>
        <v>Desk Lamp</v>
      </c>
      <c r="T5" s="10">
        <f>LEN(Revenue_DB[[#This Row],[Product]])</f>
        <v>9</v>
      </c>
    </row>
    <row r="6" spans="1:20" ht="15" thickBot="1" x14ac:dyDescent="0.35">
      <c r="A6" s="5" t="s">
        <v>48</v>
      </c>
      <c r="B6" s="12">
        <v>45330</v>
      </c>
      <c r="C6" s="6" t="s">
        <v>49</v>
      </c>
      <c r="D6" s="6" t="s">
        <v>50</v>
      </c>
      <c r="E6" s="6" t="s">
        <v>39</v>
      </c>
      <c r="F6" s="6">
        <v>18</v>
      </c>
      <c r="G6" s="6">
        <v>14.99</v>
      </c>
      <c r="H6" s="6">
        <v>0</v>
      </c>
      <c r="I6" s="7">
        <v>269.82</v>
      </c>
      <c r="J6" s="6" t="str">
        <f>IF(Revenue_DB[[#This Row],[Units Sold]]&gt;30,"High Sales","Low Sales")</f>
        <v>Low Sales</v>
      </c>
      <c r="K6" s="6" t="b">
        <f>AND(Revenue_DB[[#This Row],[Units Sold]]&gt;20,Revenue_DB[[#This Row],[Discount (%)]]&gt;=10)</f>
        <v>0</v>
      </c>
      <c r="L6" s="7" t="b">
        <f>OR(Revenue_DB[[#This Row],[Region]]="North",Revenue_DB[[#This Row],[Region]]="South")</f>
        <v>0</v>
      </c>
      <c r="M6" s="7" t="b">
        <f>NOT(Revenue_DB[[#This Row],[Discount (%)]]=0)</f>
        <v>0</v>
      </c>
      <c r="N6" s="6" t="str">
        <f>RIGHT(Revenue_DB[[#This Row],[Order ID]],4)</f>
        <v>1005</v>
      </c>
      <c r="O6" s="6" t="str">
        <f>LEFT(Revenue_DB[[#This Row],[Order ID]],3)</f>
        <v>ORD</v>
      </c>
      <c r="P6" s="6" t="str">
        <f>MID(Revenue_DB[[#This Row],[Order ID]],5,4)</f>
        <v>1005</v>
      </c>
      <c r="Q6" s="6" t="str">
        <f>UPPER(Revenue_DB[[#This Row],[Region]])</f>
        <v>WEST</v>
      </c>
      <c r="R6" s="6" t="str">
        <f>LOWER(Revenue_DB[[#This Row],[Product]])</f>
        <v>marker set</v>
      </c>
      <c r="S6" s="6" t="str">
        <f>PROPER(Revenue_DB[[#This Row],[LOWER '[Product']]])</f>
        <v>Marker Set</v>
      </c>
      <c r="T6" s="6">
        <f>LEN(Revenue_DB[[#This Row],[Product]])</f>
        <v>10</v>
      </c>
    </row>
    <row r="7" spans="1:20" ht="15" thickBot="1" x14ac:dyDescent="0.35">
      <c r="A7" s="8" t="s">
        <v>51</v>
      </c>
      <c r="B7" s="10" t="s">
        <v>52</v>
      </c>
      <c r="C7" s="10" t="s">
        <v>53</v>
      </c>
      <c r="D7" s="10" t="s">
        <v>38</v>
      </c>
      <c r="E7" s="10" t="s">
        <v>39</v>
      </c>
      <c r="F7" s="10">
        <v>10</v>
      </c>
      <c r="G7" s="10">
        <v>19.989999999999998</v>
      </c>
      <c r="H7" s="10">
        <v>5</v>
      </c>
      <c r="I7" s="11">
        <v>189.91</v>
      </c>
      <c r="J7" s="10" t="str">
        <f>IF(Revenue_DB[[#This Row],[Units Sold]]&gt;30,"High Sales","Low Sales")</f>
        <v>Low Sales</v>
      </c>
      <c r="K7" s="10" t="b">
        <f>AND(Revenue_DB[[#This Row],[Units Sold]]&gt;20,Revenue_DB[[#This Row],[Discount (%)]]&gt;=10)</f>
        <v>0</v>
      </c>
      <c r="L7" s="11" t="b">
        <f>OR(Revenue_DB[[#This Row],[Region]]="North",Revenue_DB[[#This Row],[Region]]="South")</f>
        <v>0</v>
      </c>
      <c r="M7" s="11" t="b">
        <f>NOT(Revenue_DB[[#This Row],[Discount (%)]]=0)</f>
        <v>1</v>
      </c>
      <c r="N7" s="10" t="str">
        <f>RIGHT(Revenue_DB[[#This Row],[Order ID]],4)</f>
        <v>1006</v>
      </c>
      <c r="O7" s="10" t="str">
        <f>LEFT(Revenue_DB[[#This Row],[Order ID]],3)</f>
        <v>ORD</v>
      </c>
      <c r="P7" s="10" t="str">
        <f>MID(Revenue_DB[[#This Row],[Order ID]],5,4)</f>
        <v>1006</v>
      </c>
      <c r="Q7" s="10" t="str">
        <f>UPPER(Revenue_DB[[#This Row],[Region]])</f>
        <v>EAST</v>
      </c>
      <c r="R7" s="10" t="str">
        <f>LOWER(Revenue_DB[[#This Row],[Product]])</f>
        <v>notebook set</v>
      </c>
      <c r="S7" s="10" t="str">
        <f>PROPER(Revenue_DB[[#This Row],[LOWER '[Product']]])</f>
        <v>Notebook Set</v>
      </c>
      <c r="T7" s="10">
        <f>LEN(Revenue_DB[[#This Row],[Product]])</f>
        <v>12</v>
      </c>
    </row>
    <row r="8" spans="1:20" ht="15" thickBot="1" x14ac:dyDescent="0.35">
      <c r="A8" s="5" t="s">
        <v>54</v>
      </c>
      <c r="B8" s="6" t="s">
        <v>55</v>
      </c>
      <c r="C8" s="6" t="s">
        <v>37</v>
      </c>
      <c r="D8" s="6" t="s">
        <v>56</v>
      </c>
      <c r="E8" s="6" t="s">
        <v>43</v>
      </c>
      <c r="F8" s="6">
        <v>7</v>
      </c>
      <c r="G8" s="6">
        <v>499.99</v>
      </c>
      <c r="H8" s="6">
        <v>10</v>
      </c>
      <c r="I8" s="7">
        <v>3149.94</v>
      </c>
      <c r="J8" s="6" t="str">
        <f>IF(Revenue_DB[[#This Row],[Units Sold]]&gt;30,"High Sales","Low Sales")</f>
        <v>Low Sales</v>
      </c>
      <c r="K8" s="6" t="b">
        <f>AND(Revenue_DB[[#This Row],[Units Sold]]&gt;20,Revenue_DB[[#This Row],[Discount (%)]]&gt;=10)</f>
        <v>0</v>
      </c>
      <c r="L8" s="7" t="b">
        <f>OR(Revenue_DB[[#This Row],[Region]]="North",Revenue_DB[[#This Row],[Region]]="South")</f>
        <v>1</v>
      </c>
      <c r="M8" s="7" t="b">
        <f>NOT(Revenue_DB[[#This Row],[Discount (%)]]=0)</f>
        <v>1</v>
      </c>
      <c r="N8" s="6" t="str">
        <f>RIGHT(Revenue_DB[[#This Row],[Order ID]],4)</f>
        <v>1007</v>
      </c>
      <c r="O8" s="6" t="str">
        <f>LEFT(Revenue_DB[[#This Row],[Order ID]],3)</f>
        <v>ORD</v>
      </c>
      <c r="P8" s="6" t="str">
        <f>MID(Revenue_DB[[#This Row],[Order ID]],5,4)</f>
        <v>1007</v>
      </c>
      <c r="Q8" s="6" t="str">
        <f>UPPER(Revenue_DB[[#This Row],[Region]])</f>
        <v>NORTH</v>
      </c>
      <c r="R8" s="6" t="str">
        <f>LOWER(Revenue_DB[[#This Row],[Product]])</f>
        <v>monitor 27"</v>
      </c>
      <c r="S8" s="6" t="str">
        <f>PROPER(Revenue_DB[[#This Row],[LOWER '[Product']]])</f>
        <v>Monitor 27"</v>
      </c>
      <c r="T8" s="6">
        <f>LEN(Revenue_DB[[#This Row],[Product]])</f>
        <v>11</v>
      </c>
    </row>
    <row r="9" spans="1:20" ht="15" thickBot="1" x14ac:dyDescent="0.35">
      <c r="A9" s="8" t="s">
        <v>57</v>
      </c>
      <c r="B9" s="10" t="s">
        <v>58</v>
      </c>
      <c r="C9" s="10" t="s">
        <v>53</v>
      </c>
      <c r="D9" s="10" t="s">
        <v>59</v>
      </c>
      <c r="E9" s="10" t="s">
        <v>43</v>
      </c>
      <c r="F9" s="10">
        <v>47</v>
      </c>
      <c r="G9" s="10">
        <v>1299.99</v>
      </c>
      <c r="H9" s="10">
        <v>15</v>
      </c>
      <c r="I9" s="11">
        <v>51934.6</v>
      </c>
      <c r="J9" s="10" t="str">
        <f>IF(Revenue_DB[[#This Row],[Units Sold]]&gt;30,"High Sales","Low Sales")</f>
        <v>High Sales</v>
      </c>
      <c r="K9" s="10" t="b">
        <f>AND(Revenue_DB[[#This Row],[Units Sold]]&gt;20,Revenue_DB[[#This Row],[Discount (%)]]&gt;=10)</f>
        <v>1</v>
      </c>
      <c r="L9" s="11" t="b">
        <f>OR(Revenue_DB[[#This Row],[Region]]="North",Revenue_DB[[#This Row],[Region]]="South")</f>
        <v>0</v>
      </c>
      <c r="M9" s="11" t="b">
        <f>NOT(Revenue_DB[[#This Row],[Discount (%)]]=0)</f>
        <v>1</v>
      </c>
      <c r="N9" s="10" t="str">
        <f>RIGHT(Revenue_DB[[#This Row],[Order ID]],4)</f>
        <v>1008</v>
      </c>
      <c r="O9" s="10" t="str">
        <f>LEFT(Revenue_DB[[#This Row],[Order ID]],3)</f>
        <v>ORD</v>
      </c>
      <c r="P9" s="10" t="str">
        <f>MID(Revenue_DB[[#This Row],[Order ID]],5,4)</f>
        <v>1008</v>
      </c>
      <c r="Q9" s="10" t="str">
        <f>UPPER(Revenue_DB[[#This Row],[Region]])</f>
        <v>EAST</v>
      </c>
      <c r="R9" s="10" t="str">
        <f>LOWER(Revenue_DB[[#This Row],[Product]])</f>
        <v>laptop pro</v>
      </c>
      <c r="S9" s="10" t="str">
        <f>PROPER(Revenue_DB[[#This Row],[LOWER '[Product']]])</f>
        <v>Laptop Pro</v>
      </c>
      <c r="T9" s="10">
        <f>LEN(Revenue_DB[[#This Row],[Product]])</f>
        <v>10</v>
      </c>
    </row>
    <row r="10" spans="1:20" ht="15" thickBot="1" x14ac:dyDescent="0.35">
      <c r="A10" s="5" t="s">
        <v>60</v>
      </c>
      <c r="B10" s="12">
        <v>45301</v>
      </c>
      <c r="C10" s="6" t="s">
        <v>49</v>
      </c>
      <c r="D10" s="6" t="s">
        <v>42</v>
      </c>
      <c r="E10" s="6" t="s">
        <v>43</v>
      </c>
      <c r="F10" s="13">
        <v>47</v>
      </c>
      <c r="G10" s="6">
        <v>29.99</v>
      </c>
      <c r="H10" s="6">
        <v>10</v>
      </c>
      <c r="I10" s="7">
        <v>1268.58</v>
      </c>
      <c r="J10" s="6" t="str">
        <f>IF(Revenue_DB[[#This Row],[Units Sold]]&gt;30,"High Sales","Low Sales")</f>
        <v>High Sales</v>
      </c>
      <c r="K10" s="6" t="b">
        <f>AND(Revenue_DB[[#This Row],[Units Sold]]&gt;20,Revenue_DB[[#This Row],[Discount (%)]]&gt;=10)</f>
        <v>1</v>
      </c>
      <c r="L10" s="7" t="b">
        <f>OR(Revenue_DB[[#This Row],[Region]]="North",Revenue_DB[[#This Row],[Region]]="South")</f>
        <v>0</v>
      </c>
      <c r="M10" s="7" t="b">
        <f>NOT(Revenue_DB[[#This Row],[Discount (%)]]=0)</f>
        <v>1</v>
      </c>
      <c r="N10" s="6" t="str">
        <f>RIGHT(Revenue_DB[[#This Row],[Order ID]],4)</f>
        <v>1009</v>
      </c>
      <c r="O10" s="6" t="str">
        <f>LEFT(Revenue_DB[[#This Row],[Order ID]],3)</f>
        <v>ORD</v>
      </c>
      <c r="P10" s="6" t="str">
        <f>MID(Revenue_DB[[#This Row],[Order ID]],5,4)</f>
        <v>1009</v>
      </c>
      <c r="Q10" s="6" t="str">
        <f>UPPER(Revenue_DB[[#This Row],[Region]])</f>
        <v>WEST</v>
      </c>
      <c r="R10" s="6" t="str">
        <f>LOWER(Revenue_DB[[#This Row],[Product]])</f>
        <v>wireless mouse</v>
      </c>
      <c r="S10" s="6" t="str">
        <f>PROPER(Revenue_DB[[#This Row],[LOWER '[Product']]])</f>
        <v>Wireless Mouse</v>
      </c>
      <c r="T10" s="6">
        <f>LEN(Revenue_DB[[#This Row],[Product]])</f>
        <v>14</v>
      </c>
    </row>
    <row r="11" spans="1:20" ht="15" thickBot="1" x14ac:dyDescent="0.35">
      <c r="A11" s="5" t="s">
        <v>145</v>
      </c>
      <c r="B11" s="10" t="s">
        <v>61</v>
      </c>
      <c r="C11" s="10" t="s">
        <v>53</v>
      </c>
      <c r="D11" s="10" t="s">
        <v>50</v>
      </c>
      <c r="E11" s="10" t="s">
        <v>39</v>
      </c>
      <c r="F11" s="10">
        <v>13</v>
      </c>
      <c r="G11" s="10">
        <v>14.99</v>
      </c>
      <c r="H11" s="10">
        <v>0</v>
      </c>
      <c r="I11" s="11">
        <v>194.87</v>
      </c>
      <c r="J11" s="10" t="str">
        <f>IF(Revenue_DB[[#This Row],[Units Sold]]&gt;30,"High Sales","Low Sales")</f>
        <v>Low Sales</v>
      </c>
      <c r="K11" s="10" t="b">
        <f>AND(Revenue_DB[[#This Row],[Units Sold]]&gt;20,Revenue_DB[[#This Row],[Discount (%)]]&gt;=10)</f>
        <v>0</v>
      </c>
      <c r="L11" s="11" t="b">
        <f>OR(Revenue_DB[[#This Row],[Region]]="North",Revenue_DB[[#This Row],[Region]]="South")</f>
        <v>0</v>
      </c>
      <c r="M11" s="11" t="b">
        <f>NOT(Revenue_DB[[#This Row],[Discount (%)]]=0)</f>
        <v>0</v>
      </c>
      <c r="N11" s="10" t="str">
        <f>RIGHT(Revenue_DB[[#This Row],[Order ID]],4)</f>
        <v>1010</v>
      </c>
      <c r="O11" s="10" t="str">
        <f>LEFT(Revenue_DB[[#This Row],[Order ID]],3)</f>
        <v>ORD</v>
      </c>
      <c r="P11" s="10" t="str">
        <f>MID(Revenue_DB[[#This Row],[Order ID]],5,4)</f>
        <v>1010</v>
      </c>
      <c r="Q11" s="10" t="str">
        <f>UPPER(Revenue_DB[[#This Row],[Region]])</f>
        <v>EAST</v>
      </c>
      <c r="R11" s="10" t="str">
        <f>LOWER(Revenue_DB[[#This Row],[Product]])</f>
        <v>marker set</v>
      </c>
      <c r="S11" s="10" t="str">
        <f>PROPER(Revenue_DB[[#This Row],[LOWER '[Product']]])</f>
        <v>Marker Set</v>
      </c>
      <c r="T11" s="10">
        <f>LEN(Revenue_DB[[#This Row],[Product]])</f>
        <v>10</v>
      </c>
    </row>
    <row r="12" spans="1:20" ht="15" thickBot="1" x14ac:dyDescent="0.35">
      <c r="A12" s="5" t="s">
        <v>62</v>
      </c>
      <c r="B12" s="6" t="s">
        <v>63</v>
      </c>
      <c r="C12" s="6" t="s">
        <v>53</v>
      </c>
      <c r="D12" s="6" t="s">
        <v>42</v>
      </c>
      <c r="E12" s="6" t="s">
        <v>43</v>
      </c>
      <c r="F12" s="6">
        <v>15</v>
      </c>
      <c r="G12" s="6">
        <v>29.99</v>
      </c>
      <c r="H12" s="6">
        <v>0</v>
      </c>
      <c r="I12" s="7">
        <v>449.85</v>
      </c>
      <c r="J12" s="6" t="str">
        <f>IF(Revenue_DB[[#This Row],[Units Sold]]&gt;30,"High Sales","Low Sales")</f>
        <v>Low Sales</v>
      </c>
      <c r="K12" s="6" t="b">
        <f>AND(Revenue_DB[[#This Row],[Units Sold]]&gt;20,Revenue_DB[[#This Row],[Discount (%)]]&gt;=10)</f>
        <v>0</v>
      </c>
      <c r="L12" s="7" t="b">
        <f>OR(Revenue_DB[[#This Row],[Region]]="North",Revenue_DB[[#This Row],[Region]]="South")</f>
        <v>0</v>
      </c>
      <c r="M12" s="7" t="b">
        <f>NOT(Revenue_DB[[#This Row],[Discount (%)]]=0)</f>
        <v>0</v>
      </c>
      <c r="N12" s="6" t="str">
        <f>RIGHT(Revenue_DB[[#This Row],[Order ID]],4)</f>
        <v>1011</v>
      </c>
      <c r="O12" s="6" t="str">
        <f>LEFT(Revenue_DB[[#This Row],[Order ID]],3)</f>
        <v>ORD</v>
      </c>
      <c r="P12" s="6" t="str">
        <f>MID(Revenue_DB[[#This Row],[Order ID]],5,4)</f>
        <v>1011</v>
      </c>
      <c r="Q12" s="6" t="str">
        <f>UPPER(Revenue_DB[[#This Row],[Region]])</f>
        <v>EAST</v>
      </c>
      <c r="R12" s="6" t="str">
        <f>LOWER(Revenue_DB[[#This Row],[Product]])</f>
        <v>wireless mouse</v>
      </c>
      <c r="S12" s="6" t="str">
        <f>PROPER(Revenue_DB[[#This Row],[LOWER '[Product']]])</f>
        <v>Wireless Mouse</v>
      </c>
      <c r="T12" s="6">
        <f>LEN(Revenue_DB[[#This Row],[Product]])</f>
        <v>14</v>
      </c>
    </row>
    <row r="13" spans="1:20" ht="15" thickBot="1" x14ac:dyDescent="0.35">
      <c r="A13" s="8" t="s">
        <v>64</v>
      </c>
      <c r="B13" s="10" t="s">
        <v>65</v>
      </c>
      <c r="C13" s="10" t="s">
        <v>49</v>
      </c>
      <c r="D13" s="10" t="s">
        <v>66</v>
      </c>
      <c r="E13" s="10" t="s">
        <v>39</v>
      </c>
      <c r="F13" s="6">
        <v>15</v>
      </c>
      <c r="G13" s="10">
        <v>9.99</v>
      </c>
      <c r="H13" s="10">
        <v>10</v>
      </c>
      <c r="I13" s="11">
        <v>134.87</v>
      </c>
      <c r="J13" s="10" t="str">
        <f>IF(Revenue_DB[[#This Row],[Units Sold]]&gt;30,"High Sales","Low Sales")</f>
        <v>Low Sales</v>
      </c>
      <c r="K13" s="10" t="b">
        <f>AND(Revenue_DB[[#This Row],[Units Sold]]&gt;20,Revenue_DB[[#This Row],[Discount (%)]]&gt;=10)</f>
        <v>0</v>
      </c>
      <c r="L13" s="11" t="b">
        <f>OR(Revenue_DB[[#This Row],[Region]]="North",Revenue_DB[[#This Row],[Region]]="South")</f>
        <v>0</v>
      </c>
      <c r="M13" s="11" t="b">
        <f>NOT(Revenue_DB[[#This Row],[Discount (%)]]=0)</f>
        <v>1</v>
      </c>
      <c r="N13" s="10" t="str">
        <f>RIGHT(Revenue_DB[[#This Row],[Order ID]],4)</f>
        <v>1012</v>
      </c>
      <c r="O13" s="10" t="str">
        <f>LEFT(Revenue_DB[[#This Row],[Order ID]],3)</f>
        <v>ORD</v>
      </c>
      <c r="P13" s="10" t="str">
        <f>MID(Revenue_DB[[#This Row],[Order ID]],5,4)</f>
        <v>1012</v>
      </c>
      <c r="Q13" s="10" t="str">
        <f>UPPER(Revenue_DB[[#This Row],[Region]])</f>
        <v>WEST</v>
      </c>
      <c r="R13" s="10" t="str">
        <f>LOWER(Revenue_DB[[#This Row],[Product]])</f>
        <v>pen pack</v>
      </c>
      <c r="S13" s="10" t="str">
        <f>PROPER(Revenue_DB[[#This Row],[LOWER '[Product']]])</f>
        <v>Pen Pack</v>
      </c>
      <c r="T13" s="10">
        <f>LEN(Revenue_DB[[#This Row],[Product]])</f>
        <v>8</v>
      </c>
    </row>
    <row r="14" spans="1:20" ht="15" thickBot="1" x14ac:dyDescent="0.35">
      <c r="A14" s="5" t="s">
        <v>67</v>
      </c>
      <c r="B14" s="6" t="s">
        <v>68</v>
      </c>
      <c r="C14" s="6" t="s">
        <v>53</v>
      </c>
      <c r="D14" s="6" t="s">
        <v>42</v>
      </c>
      <c r="E14" s="6" t="s">
        <v>43</v>
      </c>
      <c r="F14" s="6">
        <v>39</v>
      </c>
      <c r="G14" s="6">
        <v>29.99</v>
      </c>
      <c r="H14" s="6">
        <v>5</v>
      </c>
      <c r="I14" s="7">
        <v>1111.1300000000001</v>
      </c>
      <c r="J14" s="6" t="str">
        <f>IF(Revenue_DB[[#This Row],[Units Sold]]&gt;30,"High Sales","Low Sales")</f>
        <v>High Sales</v>
      </c>
      <c r="K14" s="6" t="b">
        <f>AND(Revenue_DB[[#This Row],[Units Sold]]&gt;20,Revenue_DB[[#This Row],[Discount (%)]]&gt;=10)</f>
        <v>0</v>
      </c>
      <c r="L14" s="7" t="b">
        <f>OR(Revenue_DB[[#This Row],[Region]]="North",Revenue_DB[[#This Row],[Region]]="South")</f>
        <v>0</v>
      </c>
      <c r="M14" s="7" t="b">
        <f>NOT(Revenue_DB[[#This Row],[Discount (%)]]=0)</f>
        <v>1</v>
      </c>
      <c r="N14" s="6" t="str">
        <f>RIGHT(Revenue_DB[[#This Row],[Order ID]],4)</f>
        <v>1013</v>
      </c>
      <c r="O14" s="6" t="str">
        <f>LEFT(Revenue_DB[[#This Row],[Order ID]],3)</f>
        <v>ORD</v>
      </c>
      <c r="P14" s="6" t="str">
        <f>MID(Revenue_DB[[#This Row],[Order ID]],5,4)</f>
        <v>1013</v>
      </c>
      <c r="Q14" s="6" t="str">
        <f>UPPER(Revenue_DB[[#This Row],[Region]])</f>
        <v>EAST</v>
      </c>
      <c r="R14" s="6" t="str">
        <f>LOWER(Revenue_DB[[#This Row],[Product]])</f>
        <v>wireless mouse</v>
      </c>
      <c r="S14" s="6" t="str">
        <f>PROPER(Revenue_DB[[#This Row],[LOWER '[Product']]])</f>
        <v>Wireless Mouse</v>
      </c>
      <c r="T14" s="6">
        <f>LEN(Revenue_DB[[#This Row],[Product]])</f>
        <v>14</v>
      </c>
    </row>
    <row r="15" spans="1:20" ht="15" thickBot="1" x14ac:dyDescent="0.35">
      <c r="A15" s="8" t="s">
        <v>69</v>
      </c>
      <c r="B15" s="10" t="s">
        <v>70</v>
      </c>
      <c r="C15" s="10" t="s">
        <v>71</v>
      </c>
      <c r="D15" s="10" t="s">
        <v>72</v>
      </c>
      <c r="E15" s="10" t="s">
        <v>43</v>
      </c>
      <c r="F15" s="10">
        <v>25</v>
      </c>
      <c r="G15" s="10">
        <v>89.99</v>
      </c>
      <c r="H15" s="10">
        <v>10</v>
      </c>
      <c r="I15" s="11">
        <v>2024.78</v>
      </c>
      <c r="J15" s="10" t="str">
        <f>IF(Revenue_DB[[#This Row],[Units Sold]]&gt;30,"High Sales","Low Sales")</f>
        <v>Low Sales</v>
      </c>
      <c r="K15" s="10" t="b">
        <f>AND(Revenue_DB[[#This Row],[Units Sold]]&gt;20,Revenue_DB[[#This Row],[Discount (%)]]&gt;=10)</f>
        <v>1</v>
      </c>
      <c r="L15" s="11" t="b">
        <f>OR(Revenue_DB[[#This Row],[Region]]="North",Revenue_DB[[#This Row],[Region]]="South")</f>
        <v>1</v>
      </c>
      <c r="M15" s="11" t="b">
        <f>NOT(Revenue_DB[[#This Row],[Discount (%)]]=0)</f>
        <v>1</v>
      </c>
      <c r="N15" s="10" t="str">
        <f>RIGHT(Revenue_DB[[#This Row],[Order ID]],4)</f>
        <v>1014</v>
      </c>
      <c r="O15" s="10" t="str">
        <f>LEFT(Revenue_DB[[#This Row],[Order ID]],3)</f>
        <v>ORD</v>
      </c>
      <c r="P15" s="10" t="str">
        <f>MID(Revenue_DB[[#This Row],[Order ID]],5,4)</f>
        <v>1014</v>
      </c>
      <c r="Q15" s="10" t="str">
        <f>UPPER(Revenue_DB[[#This Row],[Region]])</f>
        <v>SOUTH</v>
      </c>
      <c r="R15" s="10" t="str">
        <f>LOWER(Revenue_DB[[#This Row],[Product]])</f>
        <v>keyboard</v>
      </c>
      <c r="S15" s="10" t="str">
        <f>PROPER(Revenue_DB[[#This Row],[LOWER '[Product']]])</f>
        <v>Keyboard</v>
      </c>
      <c r="T15" s="10">
        <f>LEN(Revenue_DB[[#This Row],[Product]])</f>
        <v>8</v>
      </c>
    </row>
    <row r="16" spans="1:20" ht="15" thickBot="1" x14ac:dyDescent="0.35">
      <c r="A16" s="5" t="s">
        <v>73</v>
      </c>
      <c r="B16" s="6" t="s">
        <v>36</v>
      </c>
      <c r="C16" s="6" t="s">
        <v>71</v>
      </c>
      <c r="D16" s="6" t="s">
        <v>66</v>
      </c>
      <c r="E16" s="6" t="s">
        <v>39</v>
      </c>
      <c r="F16" s="6">
        <v>50</v>
      </c>
      <c r="G16" s="6">
        <v>9.99</v>
      </c>
      <c r="H16" s="6">
        <v>0</v>
      </c>
      <c r="I16" s="7">
        <v>499.5</v>
      </c>
      <c r="J16" s="6" t="str">
        <f>IF(Revenue_DB[[#This Row],[Units Sold]]&gt;30,"High Sales","Low Sales")</f>
        <v>High Sales</v>
      </c>
      <c r="K16" s="6" t="b">
        <f>AND(Revenue_DB[[#This Row],[Units Sold]]&gt;20,Revenue_DB[[#This Row],[Discount (%)]]&gt;=10)</f>
        <v>0</v>
      </c>
      <c r="L16" s="7" t="b">
        <f>OR(Revenue_DB[[#This Row],[Region]]="North",Revenue_DB[[#This Row],[Region]]="South")</f>
        <v>1</v>
      </c>
      <c r="M16" s="7" t="b">
        <f>NOT(Revenue_DB[[#This Row],[Discount (%)]]=0)</f>
        <v>0</v>
      </c>
      <c r="N16" s="6" t="str">
        <f>RIGHT(Revenue_DB[[#This Row],[Order ID]],4)</f>
        <v>1015</v>
      </c>
      <c r="O16" s="6" t="str">
        <f>LEFT(Revenue_DB[[#This Row],[Order ID]],3)</f>
        <v>ORD</v>
      </c>
      <c r="P16" s="6" t="str">
        <f>MID(Revenue_DB[[#This Row],[Order ID]],5,4)</f>
        <v>1015</v>
      </c>
      <c r="Q16" s="6" t="str">
        <f>UPPER(Revenue_DB[[#This Row],[Region]])</f>
        <v>SOUTH</v>
      </c>
      <c r="R16" s="6" t="str">
        <f>LOWER(Revenue_DB[[#This Row],[Product]])</f>
        <v>pen pack</v>
      </c>
      <c r="S16" s="6" t="str">
        <f>PROPER(Revenue_DB[[#This Row],[LOWER '[Product']]])</f>
        <v>Pen Pack</v>
      </c>
      <c r="T16" s="6">
        <f>LEN(Revenue_DB[[#This Row],[Product]])</f>
        <v>8</v>
      </c>
    </row>
    <row r="17" spans="1:20" ht="15" thickBot="1" x14ac:dyDescent="0.35">
      <c r="A17" s="8" t="s">
        <v>74</v>
      </c>
      <c r="B17" s="10" t="s">
        <v>75</v>
      </c>
      <c r="C17" s="10" t="s">
        <v>53</v>
      </c>
      <c r="D17" s="10" t="s">
        <v>56</v>
      </c>
      <c r="E17" s="10" t="s">
        <v>43</v>
      </c>
      <c r="F17" s="10">
        <v>18</v>
      </c>
      <c r="G17" s="10">
        <v>499.99</v>
      </c>
      <c r="H17" s="10">
        <v>0</v>
      </c>
      <c r="I17" s="11">
        <v>8999.82</v>
      </c>
      <c r="J17" s="10" t="str">
        <f>IF(Revenue_DB[[#This Row],[Units Sold]]&gt;30,"High Sales","Low Sales")</f>
        <v>Low Sales</v>
      </c>
      <c r="K17" s="10" t="b">
        <f>AND(Revenue_DB[[#This Row],[Units Sold]]&gt;20,Revenue_DB[[#This Row],[Discount (%)]]&gt;=10)</f>
        <v>0</v>
      </c>
      <c r="L17" s="11" t="b">
        <f>OR(Revenue_DB[[#This Row],[Region]]="North",Revenue_DB[[#This Row],[Region]]="South")</f>
        <v>0</v>
      </c>
      <c r="M17" s="11" t="b">
        <f>NOT(Revenue_DB[[#This Row],[Discount (%)]]=0)</f>
        <v>0</v>
      </c>
      <c r="N17" s="10" t="str">
        <f>RIGHT(Revenue_DB[[#This Row],[Order ID]],4)</f>
        <v>1016</v>
      </c>
      <c r="O17" s="10" t="str">
        <f>LEFT(Revenue_DB[[#This Row],[Order ID]],3)</f>
        <v>ORD</v>
      </c>
      <c r="P17" s="10" t="str">
        <f>MID(Revenue_DB[[#This Row],[Order ID]],5,4)</f>
        <v>1016</v>
      </c>
      <c r="Q17" s="10" t="str">
        <f>UPPER(Revenue_DB[[#This Row],[Region]])</f>
        <v>EAST</v>
      </c>
      <c r="R17" s="10" t="str">
        <f>LOWER(Revenue_DB[[#This Row],[Product]])</f>
        <v>monitor 27"</v>
      </c>
      <c r="S17" s="10" t="str">
        <f>PROPER(Revenue_DB[[#This Row],[LOWER '[Product']]])</f>
        <v>Monitor 27"</v>
      </c>
      <c r="T17" s="10">
        <f>LEN(Revenue_DB[[#This Row],[Product]])</f>
        <v>11</v>
      </c>
    </row>
    <row r="18" spans="1:20" ht="15" thickBot="1" x14ac:dyDescent="0.35">
      <c r="A18" s="5" t="s">
        <v>76</v>
      </c>
      <c r="B18" s="6" t="s">
        <v>77</v>
      </c>
      <c r="C18" s="6" t="s">
        <v>53</v>
      </c>
      <c r="D18" s="6" t="s">
        <v>46</v>
      </c>
      <c r="E18" s="6" t="s">
        <v>47</v>
      </c>
      <c r="F18" s="6">
        <v>42</v>
      </c>
      <c r="G18" s="6">
        <v>49.99</v>
      </c>
      <c r="H18" s="6">
        <v>15</v>
      </c>
      <c r="I18" s="7">
        <v>1784.64</v>
      </c>
      <c r="J18" s="6" t="str">
        <f>IF(Revenue_DB[[#This Row],[Units Sold]]&gt;30,"High Sales","Low Sales")</f>
        <v>High Sales</v>
      </c>
      <c r="K18" s="6" t="b">
        <f>AND(Revenue_DB[[#This Row],[Units Sold]]&gt;20,Revenue_DB[[#This Row],[Discount (%)]]&gt;=10)</f>
        <v>1</v>
      </c>
      <c r="L18" s="7" t="b">
        <f>OR(Revenue_DB[[#This Row],[Region]]="North",Revenue_DB[[#This Row],[Region]]="South")</f>
        <v>0</v>
      </c>
      <c r="M18" s="7" t="b">
        <f>NOT(Revenue_DB[[#This Row],[Discount (%)]]=0)</f>
        <v>1</v>
      </c>
      <c r="N18" s="6" t="str">
        <f>RIGHT(Revenue_DB[[#This Row],[Order ID]],4)</f>
        <v>1017</v>
      </c>
      <c r="O18" s="6" t="str">
        <f>LEFT(Revenue_DB[[#This Row],[Order ID]],3)</f>
        <v>ORD</v>
      </c>
      <c r="P18" s="6" t="str">
        <f>MID(Revenue_DB[[#This Row],[Order ID]],5,4)</f>
        <v>1017</v>
      </c>
      <c r="Q18" s="6" t="str">
        <f>UPPER(Revenue_DB[[#This Row],[Region]])</f>
        <v>EAST</v>
      </c>
      <c r="R18" s="6" t="str">
        <f>LOWER(Revenue_DB[[#This Row],[Product]])</f>
        <v>desk lamp</v>
      </c>
      <c r="S18" s="6" t="str">
        <f>PROPER(Revenue_DB[[#This Row],[LOWER '[Product']]])</f>
        <v>Desk Lamp</v>
      </c>
      <c r="T18" s="6">
        <f>LEN(Revenue_DB[[#This Row],[Product]])</f>
        <v>9</v>
      </c>
    </row>
    <row r="19" spans="1:20" ht="15" thickBot="1" x14ac:dyDescent="0.35">
      <c r="A19" s="8" t="s">
        <v>78</v>
      </c>
      <c r="B19" s="10" t="s">
        <v>79</v>
      </c>
      <c r="C19" s="10" t="s">
        <v>71</v>
      </c>
      <c r="D19" s="10" t="s">
        <v>38</v>
      </c>
      <c r="E19" s="10" t="s">
        <v>39</v>
      </c>
      <c r="F19" s="10">
        <v>20</v>
      </c>
      <c r="G19" s="10">
        <v>19.989999999999998</v>
      </c>
      <c r="H19" s="10">
        <v>5</v>
      </c>
      <c r="I19" s="11">
        <v>379.81</v>
      </c>
      <c r="J19" s="10" t="str">
        <f>IF(Revenue_DB[[#This Row],[Units Sold]]&gt;30,"High Sales","Low Sales")</f>
        <v>Low Sales</v>
      </c>
      <c r="K19" s="10" t="b">
        <f>AND(Revenue_DB[[#This Row],[Units Sold]]&gt;20,Revenue_DB[[#This Row],[Discount (%)]]&gt;=10)</f>
        <v>0</v>
      </c>
      <c r="L19" s="11" t="b">
        <f>OR(Revenue_DB[[#This Row],[Region]]="North",Revenue_DB[[#This Row],[Region]]="South")</f>
        <v>1</v>
      </c>
      <c r="M19" s="11" t="b">
        <f>NOT(Revenue_DB[[#This Row],[Discount (%)]]=0)</f>
        <v>1</v>
      </c>
      <c r="N19" s="10" t="str">
        <f>RIGHT(Revenue_DB[[#This Row],[Order ID]],4)</f>
        <v>1018</v>
      </c>
      <c r="O19" s="10" t="str">
        <f>LEFT(Revenue_DB[[#This Row],[Order ID]],3)</f>
        <v>ORD</v>
      </c>
      <c r="P19" s="10" t="str">
        <f>MID(Revenue_DB[[#This Row],[Order ID]],5,4)</f>
        <v>1018</v>
      </c>
      <c r="Q19" s="10" t="str">
        <f>UPPER(Revenue_DB[[#This Row],[Region]])</f>
        <v>SOUTH</v>
      </c>
      <c r="R19" s="10" t="str">
        <f>LOWER(Revenue_DB[[#This Row],[Product]])</f>
        <v>notebook set</v>
      </c>
      <c r="S19" s="10" t="str">
        <f>PROPER(Revenue_DB[[#This Row],[LOWER '[Product']]])</f>
        <v>Notebook Set</v>
      </c>
      <c r="T19" s="10">
        <f>LEN(Revenue_DB[[#This Row],[Product]])</f>
        <v>12</v>
      </c>
    </row>
    <row r="20" spans="1:20" ht="15" thickBot="1" x14ac:dyDescent="0.35">
      <c r="A20" s="5" t="s">
        <v>80</v>
      </c>
      <c r="B20" s="6" t="s">
        <v>81</v>
      </c>
      <c r="C20" s="6" t="s">
        <v>53</v>
      </c>
      <c r="D20" s="6" t="s">
        <v>50</v>
      </c>
      <c r="E20" s="6" t="s">
        <v>39</v>
      </c>
      <c r="F20" s="6">
        <v>28</v>
      </c>
      <c r="G20" s="6">
        <v>14.99</v>
      </c>
      <c r="H20" s="6">
        <v>20</v>
      </c>
      <c r="I20" s="7">
        <v>335.78</v>
      </c>
      <c r="J20" s="6" t="str">
        <f>IF(Revenue_DB[[#This Row],[Units Sold]]&gt;30,"High Sales","Low Sales")</f>
        <v>Low Sales</v>
      </c>
      <c r="K20" s="6" t="b">
        <f>AND(Revenue_DB[[#This Row],[Units Sold]]&gt;20,Revenue_DB[[#This Row],[Discount (%)]]&gt;=10)</f>
        <v>1</v>
      </c>
      <c r="L20" s="7" t="b">
        <f>OR(Revenue_DB[[#This Row],[Region]]="North",Revenue_DB[[#This Row],[Region]]="South")</f>
        <v>0</v>
      </c>
      <c r="M20" s="7" t="b">
        <f>NOT(Revenue_DB[[#This Row],[Discount (%)]]=0)</f>
        <v>1</v>
      </c>
      <c r="N20" s="6" t="str">
        <f>RIGHT(Revenue_DB[[#This Row],[Order ID]],4)</f>
        <v>1019</v>
      </c>
      <c r="O20" s="6" t="str">
        <f>LEFT(Revenue_DB[[#This Row],[Order ID]],3)</f>
        <v>ORD</v>
      </c>
      <c r="P20" s="6" t="str">
        <f>MID(Revenue_DB[[#This Row],[Order ID]],5,4)</f>
        <v>1019</v>
      </c>
      <c r="Q20" s="6" t="str">
        <f>UPPER(Revenue_DB[[#This Row],[Region]])</f>
        <v>EAST</v>
      </c>
      <c r="R20" s="6" t="str">
        <f>LOWER(Revenue_DB[[#This Row],[Product]])</f>
        <v>marker set</v>
      </c>
      <c r="S20" s="6" t="str">
        <f>PROPER(Revenue_DB[[#This Row],[LOWER '[Product']]])</f>
        <v>Marker Set</v>
      </c>
      <c r="T20" s="6">
        <f>LEN(Revenue_DB[[#This Row],[Product]])</f>
        <v>10</v>
      </c>
    </row>
    <row r="21" spans="1:20" ht="15" thickBot="1" x14ac:dyDescent="0.35">
      <c r="A21" s="8" t="s">
        <v>82</v>
      </c>
      <c r="B21" s="10" t="s">
        <v>83</v>
      </c>
      <c r="C21" s="10" t="s">
        <v>71</v>
      </c>
      <c r="D21" s="10" t="s">
        <v>84</v>
      </c>
      <c r="E21" s="10" t="s">
        <v>47</v>
      </c>
      <c r="F21" s="10">
        <v>33</v>
      </c>
      <c r="G21" s="10">
        <v>349.99</v>
      </c>
      <c r="H21" s="10">
        <v>15</v>
      </c>
      <c r="I21" s="11">
        <v>9817.2199999999993</v>
      </c>
      <c r="J21" s="10" t="str">
        <f>IF(Revenue_DB[[#This Row],[Units Sold]]&gt;30,"High Sales","Low Sales")</f>
        <v>High Sales</v>
      </c>
      <c r="K21" s="10" t="b">
        <f>AND(Revenue_DB[[#This Row],[Units Sold]]&gt;20,Revenue_DB[[#This Row],[Discount (%)]]&gt;=10)</f>
        <v>1</v>
      </c>
      <c r="L21" s="11" t="b">
        <f>OR(Revenue_DB[[#This Row],[Region]]="North",Revenue_DB[[#This Row],[Region]]="South")</f>
        <v>1</v>
      </c>
      <c r="M21" s="11" t="b">
        <f>NOT(Revenue_DB[[#This Row],[Discount (%)]]=0)</f>
        <v>1</v>
      </c>
      <c r="N21" s="10" t="str">
        <f>RIGHT(Revenue_DB[[#This Row],[Order ID]],4)</f>
        <v>1020</v>
      </c>
      <c r="O21" s="10" t="str">
        <f>LEFT(Revenue_DB[[#This Row],[Order ID]],3)</f>
        <v>ORD</v>
      </c>
      <c r="P21" s="10" t="str">
        <f>MID(Revenue_DB[[#This Row],[Order ID]],5,4)</f>
        <v>1020</v>
      </c>
      <c r="Q21" s="10" t="str">
        <f>UPPER(Revenue_DB[[#This Row],[Region]])</f>
        <v>SOUTH</v>
      </c>
      <c r="R21" s="10" t="str">
        <f>LOWER(Revenue_DB[[#This Row],[Product]])</f>
        <v>office chair</v>
      </c>
      <c r="S21" s="10" t="str">
        <f>PROPER(Revenue_DB[[#This Row],[LOWER '[Product']]])</f>
        <v>Office Chair</v>
      </c>
      <c r="T21" s="10">
        <f>LEN(Revenue_DB[[#This Row],[Product]])</f>
        <v>12</v>
      </c>
    </row>
    <row r="22" spans="1:20" ht="15" thickBot="1" x14ac:dyDescent="0.35">
      <c r="A22" s="8" t="s">
        <v>146</v>
      </c>
      <c r="B22" s="6" t="s">
        <v>85</v>
      </c>
      <c r="C22" s="6" t="s">
        <v>37</v>
      </c>
      <c r="D22" s="6" t="s">
        <v>84</v>
      </c>
      <c r="E22" s="6" t="s">
        <v>47</v>
      </c>
      <c r="F22" s="6">
        <v>41</v>
      </c>
      <c r="G22" s="6">
        <v>349.99</v>
      </c>
      <c r="H22" s="6">
        <v>5</v>
      </c>
      <c r="I22" s="7">
        <v>13632.11</v>
      </c>
      <c r="J22" s="6" t="str">
        <f>IF(Revenue_DB[[#This Row],[Units Sold]]&gt;30,"High Sales","Low Sales")</f>
        <v>High Sales</v>
      </c>
      <c r="K22" s="6" t="b">
        <f>AND(Revenue_DB[[#This Row],[Units Sold]]&gt;20,Revenue_DB[[#This Row],[Discount (%)]]&gt;=10)</f>
        <v>0</v>
      </c>
      <c r="L22" s="7" t="b">
        <f>OR(Revenue_DB[[#This Row],[Region]]="North",Revenue_DB[[#This Row],[Region]]="South")</f>
        <v>1</v>
      </c>
      <c r="M22" s="7" t="b">
        <f>NOT(Revenue_DB[[#This Row],[Discount (%)]]=0)</f>
        <v>1</v>
      </c>
      <c r="N22" s="6" t="str">
        <f>RIGHT(Revenue_DB[[#This Row],[Order ID]],4)</f>
        <v>1021</v>
      </c>
      <c r="O22" s="6" t="str">
        <f>LEFT(Revenue_DB[[#This Row],[Order ID]],3)</f>
        <v>ORD</v>
      </c>
      <c r="P22" s="6" t="str">
        <f>MID(Revenue_DB[[#This Row],[Order ID]],5,4)</f>
        <v>1021</v>
      </c>
      <c r="Q22" s="6" t="str">
        <f>UPPER(Revenue_DB[[#This Row],[Region]])</f>
        <v>NORTH</v>
      </c>
      <c r="R22" s="6" t="str">
        <f>LOWER(Revenue_DB[[#This Row],[Product]])</f>
        <v>office chair</v>
      </c>
      <c r="S22" s="6" t="str">
        <f>PROPER(Revenue_DB[[#This Row],[LOWER '[Product']]])</f>
        <v>Office Chair</v>
      </c>
      <c r="T22" s="6">
        <f>LEN(Revenue_DB[[#This Row],[Product]])</f>
        <v>12</v>
      </c>
    </row>
    <row r="23" spans="1:20" ht="15" thickBot="1" x14ac:dyDescent="0.35">
      <c r="A23" s="8" t="s">
        <v>86</v>
      </c>
      <c r="B23" s="10" t="s">
        <v>87</v>
      </c>
      <c r="C23" s="10" t="s">
        <v>41</v>
      </c>
      <c r="D23" s="10" t="s">
        <v>42</v>
      </c>
      <c r="E23" s="10" t="s">
        <v>43</v>
      </c>
      <c r="F23" s="10">
        <v>25</v>
      </c>
      <c r="G23" s="10">
        <v>29.99</v>
      </c>
      <c r="H23" s="10">
        <v>15</v>
      </c>
      <c r="I23" s="11">
        <v>637.29</v>
      </c>
      <c r="J23" s="10" t="str">
        <f>IF(Revenue_DB[[#This Row],[Units Sold]]&gt;30,"High Sales","Low Sales")</f>
        <v>Low Sales</v>
      </c>
      <c r="K23" s="10" t="b">
        <f>AND(Revenue_DB[[#This Row],[Units Sold]]&gt;20,Revenue_DB[[#This Row],[Discount (%)]]&gt;=10)</f>
        <v>1</v>
      </c>
      <c r="L23" s="11" t="b">
        <f>OR(Revenue_DB[[#This Row],[Region]]="North",Revenue_DB[[#This Row],[Region]]="South")</f>
        <v>0</v>
      </c>
      <c r="M23" s="11" t="b">
        <f>NOT(Revenue_DB[[#This Row],[Discount (%)]]=0)</f>
        <v>1</v>
      </c>
      <c r="N23" s="10" t="str">
        <f>RIGHT(Revenue_DB[[#This Row],[Order ID]],4)</f>
        <v>1022</v>
      </c>
      <c r="O23" s="10" t="str">
        <f>LEFT(Revenue_DB[[#This Row],[Order ID]],3)</f>
        <v>ORD</v>
      </c>
      <c r="P23" s="10" t="str">
        <f>MID(Revenue_DB[[#This Row],[Order ID]],5,4)</f>
        <v>1022</v>
      </c>
      <c r="Q23" s="10" t="str">
        <f>UPPER(Revenue_DB[[#This Row],[Region]])</f>
        <v>CENTRAL</v>
      </c>
      <c r="R23" s="10" t="str">
        <f>LOWER(Revenue_DB[[#This Row],[Product]])</f>
        <v>wireless mouse</v>
      </c>
      <c r="S23" s="10" t="str">
        <f>PROPER(Revenue_DB[[#This Row],[LOWER '[Product']]])</f>
        <v>Wireless Mouse</v>
      </c>
      <c r="T23" s="10">
        <f>LEN(Revenue_DB[[#This Row],[Product]])</f>
        <v>14</v>
      </c>
    </row>
    <row r="24" spans="1:20" ht="15" thickBot="1" x14ac:dyDescent="0.35">
      <c r="A24" s="8" t="s">
        <v>147</v>
      </c>
      <c r="B24" s="12">
        <v>45302</v>
      </c>
      <c r="C24" s="6" t="s">
        <v>41</v>
      </c>
      <c r="D24" s="6" t="s">
        <v>38</v>
      </c>
      <c r="E24" s="6" t="s">
        <v>39</v>
      </c>
      <c r="F24" s="6">
        <v>36</v>
      </c>
      <c r="G24" s="6">
        <v>19.989999999999998</v>
      </c>
      <c r="H24" s="6">
        <v>0</v>
      </c>
      <c r="I24" s="7">
        <v>719.64</v>
      </c>
      <c r="J24" s="6" t="str">
        <f>IF(Revenue_DB[[#This Row],[Units Sold]]&gt;30,"High Sales","Low Sales")</f>
        <v>High Sales</v>
      </c>
      <c r="K24" s="6" t="b">
        <f>AND(Revenue_DB[[#This Row],[Units Sold]]&gt;20,Revenue_DB[[#This Row],[Discount (%)]]&gt;=10)</f>
        <v>0</v>
      </c>
      <c r="L24" s="7" t="b">
        <f>OR(Revenue_DB[[#This Row],[Region]]="North",Revenue_DB[[#This Row],[Region]]="South")</f>
        <v>0</v>
      </c>
      <c r="M24" s="7" t="b">
        <f>NOT(Revenue_DB[[#This Row],[Discount (%)]]=0)</f>
        <v>0</v>
      </c>
      <c r="N24" s="6" t="str">
        <f>RIGHT(Revenue_DB[[#This Row],[Order ID]],4)</f>
        <v>1023</v>
      </c>
      <c r="O24" s="6" t="str">
        <f>LEFT(Revenue_DB[[#This Row],[Order ID]],3)</f>
        <v>ORD</v>
      </c>
      <c r="P24" s="6" t="str">
        <f>MID(Revenue_DB[[#This Row],[Order ID]],5,4)</f>
        <v>1023</v>
      </c>
      <c r="Q24" s="6" t="str">
        <f>UPPER(Revenue_DB[[#This Row],[Region]])</f>
        <v>CENTRAL</v>
      </c>
      <c r="R24" s="6" t="str">
        <f>LOWER(Revenue_DB[[#This Row],[Product]])</f>
        <v>notebook set</v>
      </c>
      <c r="S24" s="6" t="str">
        <f>PROPER(Revenue_DB[[#This Row],[LOWER '[Product']]])</f>
        <v>Notebook Set</v>
      </c>
      <c r="T24" s="6">
        <f>LEN(Revenue_DB[[#This Row],[Product]])</f>
        <v>12</v>
      </c>
    </row>
    <row r="25" spans="1:20" ht="15" thickBot="1" x14ac:dyDescent="0.35">
      <c r="A25" s="8" t="s">
        <v>88</v>
      </c>
      <c r="B25" s="10" t="s">
        <v>87</v>
      </c>
      <c r="C25" s="10" t="s">
        <v>41</v>
      </c>
      <c r="D25" s="10" t="s">
        <v>38</v>
      </c>
      <c r="E25" s="10" t="s">
        <v>39</v>
      </c>
      <c r="F25" s="10">
        <v>50</v>
      </c>
      <c r="G25" s="10">
        <v>19.989999999999998</v>
      </c>
      <c r="H25" s="10">
        <v>10</v>
      </c>
      <c r="I25" s="11">
        <v>899.55</v>
      </c>
      <c r="J25" s="10" t="str">
        <f>IF(Revenue_DB[[#This Row],[Units Sold]]&gt;30,"High Sales","Low Sales")</f>
        <v>High Sales</v>
      </c>
      <c r="K25" s="10" t="b">
        <f>AND(Revenue_DB[[#This Row],[Units Sold]]&gt;20,Revenue_DB[[#This Row],[Discount (%)]]&gt;=10)</f>
        <v>1</v>
      </c>
      <c r="L25" s="11" t="b">
        <f>OR(Revenue_DB[[#This Row],[Region]]="North",Revenue_DB[[#This Row],[Region]]="South")</f>
        <v>0</v>
      </c>
      <c r="M25" s="11" t="b">
        <f>NOT(Revenue_DB[[#This Row],[Discount (%)]]=0)</f>
        <v>1</v>
      </c>
      <c r="N25" s="10" t="str">
        <f>RIGHT(Revenue_DB[[#This Row],[Order ID]],4)</f>
        <v>1024</v>
      </c>
      <c r="O25" s="10" t="str">
        <f>LEFT(Revenue_DB[[#This Row],[Order ID]],3)</f>
        <v>ORD</v>
      </c>
      <c r="P25" s="10" t="str">
        <f>MID(Revenue_DB[[#This Row],[Order ID]],5,4)</f>
        <v>1024</v>
      </c>
      <c r="Q25" s="10" t="str">
        <f>UPPER(Revenue_DB[[#This Row],[Region]])</f>
        <v>CENTRAL</v>
      </c>
      <c r="R25" s="10" t="str">
        <f>LOWER(Revenue_DB[[#This Row],[Product]])</f>
        <v>notebook set</v>
      </c>
      <c r="S25" s="10" t="str">
        <f>PROPER(Revenue_DB[[#This Row],[LOWER '[Product']]])</f>
        <v>Notebook Set</v>
      </c>
      <c r="T25" s="10">
        <f>LEN(Revenue_DB[[#This Row],[Product]])</f>
        <v>12</v>
      </c>
    </row>
    <row r="26" spans="1:20" ht="15" thickBot="1" x14ac:dyDescent="0.35">
      <c r="A26" s="5" t="s">
        <v>89</v>
      </c>
      <c r="B26" s="6" t="s">
        <v>90</v>
      </c>
      <c r="C26" s="6" t="s">
        <v>49</v>
      </c>
      <c r="D26" s="6" t="s">
        <v>84</v>
      </c>
      <c r="E26" s="6" t="s">
        <v>47</v>
      </c>
      <c r="F26" s="6">
        <v>30</v>
      </c>
      <c r="G26" s="6">
        <v>349.99</v>
      </c>
      <c r="H26" s="6">
        <v>0</v>
      </c>
      <c r="I26" s="7">
        <v>10499.7</v>
      </c>
      <c r="J26" s="6" t="str">
        <f>IF(Revenue_DB[[#This Row],[Units Sold]]&gt;30,"High Sales","Low Sales")</f>
        <v>Low Sales</v>
      </c>
      <c r="K26" s="6" t="b">
        <f>AND(Revenue_DB[[#This Row],[Units Sold]]&gt;20,Revenue_DB[[#This Row],[Discount (%)]]&gt;=10)</f>
        <v>0</v>
      </c>
      <c r="L26" s="7" t="b">
        <f>OR(Revenue_DB[[#This Row],[Region]]="North",Revenue_DB[[#This Row],[Region]]="South")</f>
        <v>0</v>
      </c>
      <c r="M26" s="7" t="b">
        <f>NOT(Revenue_DB[[#This Row],[Discount (%)]]=0)</f>
        <v>0</v>
      </c>
      <c r="N26" s="6" t="str">
        <f>RIGHT(Revenue_DB[[#This Row],[Order ID]],4)</f>
        <v>1025</v>
      </c>
      <c r="O26" s="6" t="str">
        <f>LEFT(Revenue_DB[[#This Row],[Order ID]],3)</f>
        <v>ORD</v>
      </c>
      <c r="P26" s="6" t="str">
        <f>MID(Revenue_DB[[#This Row],[Order ID]],5,4)</f>
        <v>1025</v>
      </c>
      <c r="Q26" s="6" t="str">
        <f>UPPER(Revenue_DB[[#This Row],[Region]])</f>
        <v>WEST</v>
      </c>
      <c r="R26" s="6" t="str">
        <f>LOWER(Revenue_DB[[#This Row],[Product]])</f>
        <v>office chair</v>
      </c>
      <c r="S26" s="6" t="str">
        <f>PROPER(Revenue_DB[[#This Row],[LOWER '[Product']]])</f>
        <v>Office Chair</v>
      </c>
      <c r="T26" s="6">
        <f>LEN(Revenue_DB[[#This Row],[Product]])</f>
        <v>12</v>
      </c>
    </row>
    <row r="27" spans="1:20" ht="15" thickBot="1" x14ac:dyDescent="0.35">
      <c r="A27" s="8" t="s">
        <v>91</v>
      </c>
      <c r="B27" s="10" t="s">
        <v>92</v>
      </c>
      <c r="C27" s="10" t="s">
        <v>71</v>
      </c>
      <c r="D27" s="10" t="s">
        <v>93</v>
      </c>
      <c r="E27" s="10" t="s">
        <v>47</v>
      </c>
      <c r="F27" s="10">
        <v>22</v>
      </c>
      <c r="G27" s="10">
        <v>199.99</v>
      </c>
      <c r="H27" s="10">
        <v>10</v>
      </c>
      <c r="I27" s="11">
        <v>3959.8</v>
      </c>
      <c r="J27" s="10" t="str">
        <f>IF(Revenue_DB[[#This Row],[Units Sold]]&gt;30,"High Sales","Low Sales")</f>
        <v>Low Sales</v>
      </c>
      <c r="K27" s="10" t="b">
        <f>AND(Revenue_DB[[#This Row],[Units Sold]]&gt;20,Revenue_DB[[#This Row],[Discount (%)]]&gt;=10)</f>
        <v>1</v>
      </c>
      <c r="L27" s="11" t="b">
        <f>OR(Revenue_DB[[#This Row],[Region]]="North",Revenue_DB[[#This Row],[Region]]="South")</f>
        <v>1</v>
      </c>
      <c r="M27" s="11" t="b">
        <f>NOT(Revenue_DB[[#This Row],[Discount (%)]]=0)</f>
        <v>1</v>
      </c>
      <c r="N27" s="10" t="str">
        <f>RIGHT(Revenue_DB[[#This Row],[Order ID]],4)</f>
        <v>1026</v>
      </c>
      <c r="O27" s="10" t="str">
        <f>LEFT(Revenue_DB[[#This Row],[Order ID]],3)</f>
        <v>ORD</v>
      </c>
      <c r="P27" s="10" t="str">
        <f>MID(Revenue_DB[[#This Row],[Order ID]],5,4)</f>
        <v>1026</v>
      </c>
      <c r="Q27" s="10" t="str">
        <f>UPPER(Revenue_DB[[#This Row],[Region]])</f>
        <v>SOUTH</v>
      </c>
      <c r="R27" s="10" t="str">
        <f>LOWER(Revenue_DB[[#This Row],[Product]])</f>
        <v>filing cabinet</v>
      </c>
      <c r="S27" s="10" t="str">
        <f>PROPER(Revenue_DB[[#This Row],[LOWER '[Product']]])</f>
        <v>Filing Cabinet</v>
      </c>
      <c r="T27" s="10">
        <f>LEN(Revenue_DB[[#This Row],[Product]])</f>
        <v>14</v>
      </c>
    </row>
    <row r="28" spans="1:20" ht="15" thickBot="1" x14ac:dyDescent="0.35">
      <c r="A28" s="5" t="s">
        <v>94</v>
      </c>
      <c r="B28" s="6" t="s">
        <v>36</v>
      </c>
      <c r="C28" s="6" t="s">
        <v>41</v>
      </c>
      <c r="D28" s="6" t="s">
        <v>46</v>
      </c>
      <c r="E28" s="6" t="s">
        <v>47</v>
      </c>
      <c r="F28" s="6">
        <v>10</v>
      </c>
      <c r="G28" s="6">
        <v>49.99</v>
      </c>
      <c r="H28" s="6">
        <v>10</v>
      </c>
      <c r="I28" s="7">
        <v>449.91</v>
      </c>
      <c r="J28" s="6" t="str">
        <f>IF(Revenue_DB[[#This Row],[Units Sold]]&gt;30,"High Sales","Low Sales")</f>
        <v>Low Sales</v>
      </c>
      <c r="K28" s="6" t="b">
        <f>AND(Revenue_DB[[#This Row],[Units Sold]]&gt;20,Revenue_DB[[#This Row],[Discount (%)]]&gt;=10)</f>
        <v>0</v>
      </c>
      <c r="L28" s="7" t="b">
        <f>OR(Revenue_DB[[#This Row],[Region]]="North",Revenue_DB[[#This Row],[Region]]="South")</f>
        <v>0</v>
      </c>
      <c r="M28" s="7" t="b">
        <f>NOT(Revenue_DB[[#This Row],[Discount (%)]]=0)</f>
        <v>1</v>
      </c>
      <c r="N28" s="6" t="str">
        <f>RIGHT(Revenue_DB[[#This Row],[Order ID]],4)</f>
        <v>1027</v>
      </c>
      <c r="O28" s="6" t="str">
        <f>LEFT(Revenue_DB[[#This Row],[Order ID]],3)</f>
        <v>ORD</v>
      </c>
      <c r="P28" s="6" t="str">
        <f>MID(Revenue_DB[[#This Row],[Order ID]],5,4)</f>
        <v>1027</v>
      </c>
      <c r="Q28" s="6" t="str">
        <f>UPPER(Revenue_DB[[#This Row],[Region]])</f>
        <v>CENTRAL</v>
      </c>
      <c r="R28" s="6" t="str">
        <f>LOWER(Revenue_DB[[#This Row],[Product]])</f>
        <v>desk lamp</v>
      </c>
      <c r="S28" s="6" t="str">
        <f>PROPER(Revenue_DB[[#This Row],[LOWER '[Product']]])</f>
        <v>Desk Lamp</v>
      </c>
      <c r="T28" s="6">
        <f>LEN(Revenue_DB[[#This Row],[Product]])</f>
        <v>9</v>
      </c>
    </row>
    <row r="29" spans="1:20" ht="15" thickBot="1" x14ac:dyDescent="0.35">
      <c r="A29" s="8" t="s">
        <v>95</v>
      </c>
      <c r="B29" s="10" t="s">
        <v>96</v>
      </c>
      <c r="C29" s="10" t="s">
        <v>41</v>
      </c>
      <c r="D29" s="10" t="s">
        <v>59</v>
      </c>
      <c r="E29" s="10" t="s">
        <v>43</v>
      </c>
      <c r="F29" s="10">
        <v>39</v>
      </c>
      <c r="G29" s="10">
        <v>1299.99</v>
      </c>
      <c r="H29" s="10">
        <v>10</v>
      </c>
      <c r="I29" s="11">
        <v>45629.65</v>
      </c>
      <c r="J29" s="10" t="str">
        <f>IF(Revenue_DB[[#This Row],[Units Sold]]&gt;30,"High Sales","Low Sales")</f>
        <v>High Sales</v>
      </c>
      <c r="K29" s="10" t="b">
        <f>AND(Revenue_DB[[#This Row],[Units Sold]]&gt;20,Revenue_DB[[#This Row],[Discount (%)]]&gt;=10)</f>
        <v>1</v>
      </c>
      <c r="L29" s="11" t="b">
        <f>OR(Revenue_DB[[#This Row],[Region]]="North",Revenue_DB[[#This Row],[Region]]="South")</f>
        <v>0</v>
      </c>
      <c r="M29" s="11" t="b">
        <f>NOT(Revenue_DB[[#This Row],[Discount (%)]]=0)</f>
        <v>1</v>
      </c>
      <c r="N29" s="10" t="str">
        <f>RIGHT(Revenue_DB[[#This Row],[Order ID]],4)</f>
        <v>1028</v>
      </c>
      <c r="O29" s="10" t="str">
        <f>LEFT(Revenue_DB[[#This Row],[Order ID]],3)</f>
        <v>ORD</v>
      </c>
      <c r="P29" s="10" t="str">
        <f>MID(Revenue_DB[[#This Row],[Order ID]],5,4)</f>
        <v>1028</v>
      </c>
      <c r="Q29" s="10" t="str">
        <f>UPPER(Revenue_DB[[#This Row],[Region]])</f>
        <v>CENTRAL</v>
      </c>
      <c r="R29" s="10" t="str">
        <f>LOWER(Revenue_DB[[#This Row],[Product]])</f>
        <v>laptop pro</v>
      </c>
      <c r="S29" s="10" t="str">
        <f>PROPER(Revenue_DB[[#This Row],[LOWER '[Product']]])</f>
        <v>Laptop Pro</v>
      </c>
      <c r="T29" s="10">
        <f>LEN(Revenue_DB[[#This Row],[Product]])</f>
        <v>10</v>
      </c>
    </row>
    <row r="30" spans="1:20" ht="15" thickBot="1" x14ac:dyDescent="0.35">
      <c r="A30" s="5" t="s">
        <v>97</v>
      </c>
      <c r="B30" s="12">
        <v>45482</v>
      </c>
      <c r="C30" s="6" t="s">
        <v>37</v>
      </c>
      <c r="D30" s="6" t="s">
        <v>66</v>
      </c>
      <c r="E30" s="6" t="s">
        <v>39</v>
      </c>
      <c r="F30" s="6">
        <v>20</v>
      </c>
      <c r="G30" s="6">
        <v>9.99</v>
      </c>
      <c r="H30" s="6">
        <v>5</v>
      </c>
      <c r="I30" s="7">
        <v>189.81</v>
      </c>
      <c r="J30" s="6" t="str">
        <f>IF(Revenue_DB[[#This Row],[Units Sold]]&gt;30,"High Sales","Low Sales")</f>
        <v>Low Sales</v>
      </c>
      <c r="K30" s="6" t="b">
        <f>AND(Revenue_DB[[#This Row],[Units Sold]]&gt;20,Revenue_DB[[#This Row],[Discount (%)]]&gt;=10)</f>
        <v>0</v>
      </c>
      <c r="L30" s="7" t="b">
        <f>OR(Revenue_DB[[#This Row],[Region]]="North",Revenue_DB[[#This Row],[Region]]="South")</f>
        <v>1</v>
      </c>
      <c r="M30" s="7" t="b">
        <f>NOT(Revenue_DB[[#This Row],[Discount (%)]]=0)</f>
        <v>1</v>
      </c>
      <c r="N30" s="6" t="str">
        <f>RIGHT(Revenue_DB[[#This Row],[Order ID]],4)</f>
        <v>1029</v>
      </c>
      <c r="O30" s="6" t="str">
        <f>LEFT(Revenue_DB[[#This Row],[Order ID]],3)</f>
        <v>ORD</v>
      </c>
      <c r="P30" s="6" t="str">
        <f>MID(Revenue_DB[[#This Row],[Order ID]],5,4)</f>
        <v>1029</v>
      </c>
      <c r="Q30" s="6" t="str">
        <f>UPPER(Revenue_DB[[#This Row],[Region]])</f>
        <v>NORTH</v>
      </c>
      <c r="R30" s="6" t="str">
        <f>LOWER(Revenue_DB[[#This Row],[Product]])</f>
        <v>pen pack</v>
      </c>
      <c r="S30" s="6" t="str">
        <f>PROPER(Revenue_DB[[#This Row],[LOWER '[Product']]])</f>
        <v>Pen Pack</v>
      </c>
      <c r="T30" s="6">
        <f>LEN(Revenue_DB[[#This Row],[Product]])</f>
        <v>8</v>
      </c>
    </row>
    <row r="31" spans="1:20" ht="15" thickBot="1" x14ac:dyDescent="0.35">
      <c r="A31" s="5" t="s">
        <v>148</v>
      </c>
      <c r="B31" s="10" t="s">
        <v>98</v>
      </c>
      <c r="C31" s="10" t="s">
        <v>41</v>
      </c>
      <c r="D31" s="10" t="s">
        <v>42</v>
      </c>
      <c r="E31" s="10" t="s">
        <v>43</v>
      </c>
      <c r="F31" s="10">
        <v>34</v>
      </c>
      <c r="G31" s="10">
        <v>29.99</v>
      </c>
      <c r="H31" s="10">
        <v>15</v>
      </c>
      <c r="I31" s="11">
        <v>866.71</v>
      </c>
      <c r="J31" s="10" t="str">
        <f>IF(Revenue_DB[[#This Row],[Units Sold]]&gt;30,"High Sales","Low Sales")</f>
        <v>High Sales</v>
      </c>
      <c r="K31" s="10" t="b">
        <f>AND(Revenue_DB[[#This Row],[Units Sold]]&gt;20,Revenue_DB[[#This Row],[Discount (%)]]&gt;=10)</f>
        <v>1</v>
      </c>
      <c r="L31" s="11" t="b">
        <f>OR(Revenue_DB[[#This Row],[Region]]="North",Revenue_DB[[#This Row],[Region]]="South")</f>
        <v>0</v>
      </c>
      <c r="M31" s="11" t="b">
        <f>NOT(Revenue_DB[[#This Row],[Discount (%)]]=0)</f>
        <v>1</v>
      </c>
      <c r="N31" s="10" t="str">
        <f>RIGHT(Revenue_DB[[#This Row],[Order ID]],4)</f>
        <v>1030</v>
      </c>
      <c r="O31" s="10" t="str">
        <f>LEFT(Revenue_DB[[#This Row],[Order ID]],3)</f>
        <v>ORD</v>
      </c>
      <c r="P31" s="10" t="str">
        <f>MID(Revenue_DB[[#This Row],[Order ID]],5,4)</f>
        <v>1030</v>
      </c>
      <c r="Q31" s="10" t="str">
        <f>UPPER(Revenue_DB[[#This Row],[Region]])</f>
        <v>CENTRAL</v>
      </c>
      <c r="R31" s="10" t="str">
        <f>LOWER(Revenue_DB[[#This Row],[Product]])</f>
        <v>wireless mouse</v>
      </c>
      <c r="S31" s="10" t="str">
        <f>PROPER(Revenue_DB[[#This Row],[LOWER '[Product']]])</f>
        <v>Wireless Mouse</v>
      </c>
      <c r="T31" s="10">
        <f>LEN(Revenue_DB[[#This Row],[Product]])</f>
        <v>14</v>
      </c>
    </row>
    <row r="32" spans="1:20" ht="15" thickBot="1" x14ac:dyDescent="0.35">
      <c r="A32" s="5" t="s">
        <v>99</v>
      </c>
      <c r="B32" s="12">
        <v>45414</v>
      </c>
      <c r="C32" s="6" t="s">
        <v>71</v>
      </c>
      <c r="D32" s="6" t="s">
        <v>84</v>
      </c>
      <c r="E32" s="6" t="s">
        <v>47</v>
      </c>
      <c r="F32" s="6">
        <v>43</v>
      </c>
      <c r="G32" s="6">
        <v>349.99</v>
      </c>
      <c r="H32" s="6">
        <v>15</v>
      </c>
      <c r="I32" s="7">
        <v>12792.13</v>
      </c>
      <c r="J32" s="6" t="str">
        <f>IF(Revenue_DB[[#This Row],[Units Sold]]&gt;30,"High Sales","Low Sales")</f>
        <v>High Sales</v>
      </c>
      <c r="K32" s="6" t="b">
        <f>AND(Revenue_DB[[#This Row],[Units Sold]]&gt;20,Revenue_DB[[#This Row],[Discount (%)]]&gt;=10)</f>
        <v>1</v>
      </c>
      <c r="L32" s="7" t="b">
        <f>OR(Revenue_DB[[#This Row],[Region]]="North",Revenue_DB[[#This Row],[Region]]="South")</f>
        <v>1</v>
      </c>
      <c r="M32" s="7" t="b">
        <f>NOT(Revenue_DB[[#This Row],[Discount (%)]]=0)</f>
        <v>1</v>
      </c>
      <c r="N32" s="6" t="str">
        <f>RIGHT(Revenue_DB[[#This Row],[Order ID]],4)</f>
        <v>1031</v>
      </c>
      <c r="O32" s="6" t="str">
        <f>LEFT(Revenue_DB[[#This Row],[Order ID]],3)</f>
        <v>ORD</v>
      </c>
      <c r="P32" s="6" t="str">
        <f>MID(Revenue_DB[[#This Row],[Order ID]],5,4)</f>
        <v>1031</v>
      </c>
      <c r="Q32" s="6" t="str">
        <f>UPPER(Revenue_DB[[#This Row],[Region]])</f>
        <v>SOUTH</v>
      </c>
      <c r="R32" s="6" t="str">
        <f>LOWER(Revenue_DB[[#This Row],[Product]])</f>
        <v>office chair</v>
      </c>
      <c r="S32" s="6" t="str">
        <f>PROPER(Revenue_DB[[#This Row],[LOWER '[Product']]])</f>
        <v>Office Chair</v>
      </c>
      <c r="T32" s="6">
        <f>LEN(Revenue_DB[[#This Row],[Product]])</f>
        <v>12</v>
      </c>
    </row>
    <row r="33" spans="1:20" ht="15" thickBot="1" x14ac:dyDescent="0.35">
      <c r="A33" s="8" t="s">
        <v>100</v>
      </c>
      <c r="B33" s="9">
        <v>45514</v>
      </c>
      <c r="C33" s="10" t="s">
        <v>53</v>
      </c>
      <c r="D33" s="10" t="s">
        <v>93</v>
      </c>
      <c r="E33" s="10" t="s">
        <v>47</v>
      </c>
      <c r="F33" s="10">
        <v>39</v>
      </c>
      <c r="G33" s="10">
        <v>199.99</v>
      </c>
      <c r="H33" s="10">
        <v>15</v>
      </c>
      <c r="I33" s="11">
        <v>6629.67</v>
      </c>
      <c r="J33" s="10" t="str">
        <f>IF(Revenue_DB[[#This Row],[Units Sold]]&gt;30,"High Sales","Low Sales")</f>
        <v>High Sales</v>
      </c>
      <c r="K33" s="10" t="b">
        <f>AND(Revenue_DB[[#This Row],[Units Sold]]&gt;20,Revenue_DB[[#This Row],[Discount (%)]]&gt;=10)</f>
        <v>1</v>
      </c>
      <c r="L33" s="11" t="b">
        <f>OR(Revenue_DB[[#This Row],[Region]]="North",Revenue_DB[[#This Row],[Region]]="South")</f>
        <v>0</v>
      </c>
      <c r="M33" s="11" t="b">
        <f>NOT(Revenue_DB[[#This Row],[Discount (%)]]=0)</f>
        <v>1</v>
      </c>
      <c r="N33" s="10" t="str">
        <f>RIGHT(Revenue_DB[[#This Row],[Order ID]],4)</f>
        <v>1032</v>
      </c>
      <c r="O33" s="10" t="str">
        <f>LEFT(Revenue_DB[[#This Row],[Order ID]],3)</f>
        <v>ORD</v>
      </c>
      <c r="P33" s="10" t="str">
        <f>MID(Revenue_DB[[#This Row],[Order ID]],5,4)</f>
        <v>1032</v>
      </c>
      <c r="Q33" s="10" t="str">
        <f>UPPER(Revenue_DB[[#This Row],[Region]])</f>
        <v>EAST</v>
      </c>
      <c r="R33" s="10" t="str">
        <f>LOWER(Revenue_DB[[#This Row],[Product]])</f>
        <v>filing cabinet</v>
      </c>
      <c r="S33" s="10" t="str">
        <f>PROPER(Revenue_DB[[#This Row],[LOWER '[Product']]])</f>
        <v>Filing Cabinet</v>
      </c>
      <c r="T33" s="10">
        <f>LEN(Revenue_DB[[#This Row],[Product]])</f>
        <v>14</v>
      </c>
    </row>
    <row r="34" spans="1:20" ht="15" thickBot="1" x14ac:dyDescent="0.35">
      <c r="A34" s="5" t="s">
        <v>101</v>
      </c>
      <c r="B34" s="6" t="s">
        <v>77</v>
      </c>
      <c r="C34" s="6" t="s">
        <v>71</v>
      </c>
      <c r="D34" s="6" t="s">
        <v>38</v>
      </c>
      <c r="E34" s="6" t="s">
        <v>39</v>
      </c>
      <c r="F34" s="6">
        <v>11</v>
      </c>
      <c r="G34" s="6">
        <v>19.989999999999998</v>
      </c>
      <c r="H34" s="6">
        <v>10</v>
      </c>
      <c r="I34" s="7">
        <v>197.9</v>
      </c>
      <c r="J34" s="6" t="str">
        <f>IF(Revenue_DB[[#This Row],[Units Sold]]&gt;30,"High Sales","Low Sales")</f>
        <v>Low Sales</v>
      </c>
      <c r="K34" s="6" t="b">
        <f>AND(Revenue_DB[[#This Row],[Units Sold]]&gt;20,Revenue_DB[[#This Row],[Discount (%)]]&gt;=10)</f>
        <v>0</v>
      </c>
      <c r="L34" s="7" t="b">
        <f>OR(Revenue_DB[[#This Row],[Region]]="North",Revenue_DB[[#This Row],[Region]]="South")</f>
        <v>1</v>
      </c>
      <c r="M34" s="7" t="b">
        <f>NOT(Revenue_DB[[#This Row],[Discount (%)]]=0)</f>
        <v>1</v>
      </c>
      <c r="N34" s="6" t="str">
        <f>RIGHT(Revenue_DB[[#This Row],[Order ID]],4)</f>
        <v>1033</v>
      </c>
      <c r="O34" s="6" t="str">
        <f>LEFT(Revenue_DB[[#This Row],[Order ID]],3)</f>
        <v>ORD</v>
      </c>
      <c r="P34" s="6" t="str">
        <f>MID(Revenue_DB[[#This Row],[Order ID]],5,4)</f>
        <v>1033</v>
      </c>
      <c r="Q34" s="6" t="str">
        <f>UPPER(Revenue_DB[[#This Row],[Region]])</f>
        <v>SOUTH</v>
      </c>
      <c r="R34" s="6" t="str">
        <f>LOWER(Revenue_DB[[#This Row],[Product]])</f>
        <v>notebook set</v>
      </c>
      <c r="S34" s="6" t="str">
        <f>PROPER(Revenue_DB[[#This Row],[LOWER '[Product']]])</f>
        <v>Notebook Set</v>
      </c>
      <c r="T34" s="6">
        <f>LEN(Revenue_DB[[#This Row],[Product]])</f>
        <v>12</v>
      </c>
    </row>
    <row r="35" spans="1:20" ht="15" thickBot="1" x14ac:dyDescent="0.35">
      <c r="A35" s="8" t="s">
        <v>102</v>
      </c>
      <c r="B35" s="9">
        <v>45634</v>
      </c>
      <c r="C35" s="10" t="s">
        <v>49</v>
      </c>
      <c r="D35" s="10" t="s">
        <v>42</v>
      </c>
      <c r="E35" s="10" t="s">
        <v>43</v>
      </c>
      <c r="F35" s="10">
        <v>16</v>
      </c>
      <c r="G35" s="10">
        <v>29.99</v>
      </c>
      <c r="H35" s="10">
        <v>5</v>
      </c>
      <c r="I35" s="11">
        <v>455.85</v>
      </c>
      <c r="J35" s="10" t="str">
        <f>IF(Revenue_DB[[#This Row],[Units Sold]]&gt;30,"High Sales","Low Sales")</f>
        <v>Low Sales</v>
      </c>
      <c r="K35" s="10" t="b">
        <f>AND(Revenue_DB[[#This Row],[Units Sold]]&gt;20,Revenue_DB[[#This Row],[Discount (%)]]&gt;=10)</f>
        <v>0</v>
      </c>
      <c r="L35" s="11" t="b">
        <f>OR(Revenue_DB[[#This Row],[Region]]="North",Revenue_DB[[#This Row],[Region]]="South")</f>
        <v>0</v>
      </c>
      <c r="M35" s="11" t="b">
        <f>NOT(Revenue_DB[[#This Row],[Discount (%)]]=0)</f>
        <v>1</v>
      </c>
      <c r="N35" s="10" t="str">
        <f>RIGHT(Revenue_DB[[#This Row],[Order ID]],4)</f>
        <v>1034</v>
      </c>
      <c r="O35" s="10" t="str">
        <f>LEFT(Revenue_DB[[#This Row],[Order ID]],3)</f>
        <v>ORD</v>
      </c>
      <c r="P35" s="10" t="str">
        <f>MID(Revenue_DB[[#This Row],[Order ID]],5,4)</f>
        <v>1034</v>
      </c>
      <c r="Q35" s="10" t="str">
        <f>UPPER(Revenue_DB[[#This Row],[Region]])</f>
        <v>WEST</v>
      </c>
      <c r="R35" s="10" t="str">
        <f>LOWER(Revenue_DB[[#This Row],[Product]])</f>
        <v>wireless mouse</v>
      </c>
      <c r="S35" s="10" t="str">
        <f>PROPER(Revenue_DB[[#This Row],[LOWER '[Product']]])</f>
        <v>Wireless Mouse</v>
      </c>
      <c r="T35" s="10">
        <f>LEN(Revenue_DB[[#This Row],[Product]])</f>
        <v>14</v>
      </c>
    </row>
    <row r="36" spans="1:20" ht="15" thickBot="1" x14ac:dyDescent="0.35">
      <c r="A36" s="5" t="s">
        <v>103</v>
      </c>
      <c r="B36" s="12">
        <v>45324</v>
      </c>
      <c r="C36" s="6" t="s">
        <v>37</v>
      </c>
      <c r="D36" s="6" t="s">
        <v>50</v>
      </c>
      <c r="E36" s="6" t="s">
        <v>39</v>
      </c>
      <c r="F36" s="6">
        <v>36</v>
      </c>
      <c r="G36" s="6">
        <v>14.99</v>
      </c>
      <c r="H36" s="6">
        <v>5</v>
      </c>
      <c r="I36" s="7">
        <v>512.66</v>
      </c>
      <c r="J36" s="6" t="str">
        <f>IF(Revenue_DB[[#This Row],[Units Sold]]&gt;30,"High Sales","Low Sales")</f>
        <v>High Sales</v>
      </c>
      <c r="K36" s="6" t="b">
        <f>AND(Revenue_DB[[#This Row],[Units Sold]]&gt;20,Revenue_DB[[#This Row],[Discount (%)]]&gt;=10)</f>
        <v>0</v>
      </c>
      <c r="L36" s="7" t="b">
        <f>OR(Revenue_DB[[#This Row],[Region]]="North",Revenue_DB[[#This Row],[Region]]="South")</f>
        <v>1</v>
      </c>
      <c r="M36" s="7" t="b">
        <f>NOT(Revenue_DB[[#This Row],[Discount (%)]]=0)</f>
        <v>1</v>
      </c>
      <c r="N36" s="6" t="str">
        <f>RIGHT(Revenue_DB[[#This Row],[Order ID]],4)</f>
        <v>1035</v>
      </c>
      <c r="O36" s="6" t="str">
        <f>LEFT(Revenue_DB[[#This Row],[Order ID]],3)</f>
        <v>ORD</v>
      </c>
      <c r="P36" s="6" t="str">
        <f>MID(Revenue_DB[[#This Row],[Order ID]],5,4)</f>
        <v>1035</v>
      </c>
      <c r="Q36" s="6" t="str">
        <f>UPPER(Revenue_DB[[#This Row],[Region]])</f>
        <v>NORTH</v>
      </c>
      <c r="R36" s="6" t="str">
        <f>LOWER(Revenue_DB[[#This Row],[Product]])</f>
        <v>marker set</v>
      </c>
      <c r="S36" s="6" t="str">
        <f>PROPER(Revenue_DB[[#This Row],[LOWER '[Product']]])</f>
        <v>Marker Set</v>
      </c>
      <c r="T36" s="6">
        <f>LEN(Revenue_DB[[#This Row],[Product]])</f>
        <v>10</v>
      </c>
    </row>
    <row r="37" spans="1:20" ht="15" thickBot="1" x14ac:dyDescent="0.35">
      <c r="A37" s="8" t="s">
        <v>104</v>
      </c>
      <c r="B37" s="10" t="s">
        <v>105</v>
      </c>
      <c r="C37" s="10" t="s">
        <v>37</v>
      </c>
      <c r="D37" s="10" t="s">
        <v>42</v>
      </c>
      <c r="E37" s="10" t="s">
        <v>43</v>
      </c>
      <c r="F37" s="10">
        <v>46</v>
      </c>
      <c r="G37" s="10">
        <v>29.99</v>
      </c>
      <c r="H37" s="10">
        <v>0</v>
      </c>
      <c r="I37" s="11">
        <v>1379.54</v>
      </c>
      <c r="J37" s="10" t="str">
        <f>IF(Revenue_DB[[#This Row],[Units Sold]]&gt;30,"High Sales","Low Sales")</f>
        <v>High Sales</v>
      </c>
      <c r="K37" s="10" t="b">
        <f>AND(Revenue_DB[[#This Row],[Units Sold]]&gt;20,Revenue_DB[[#This Row],[Discount (%)]]&gt;=10)</f>
        <v>0</v>
      </c>
      <c r="L37" s="11" t="b">
        <f>OR(Revenue_DB[[#This Row],[Region]]="North",Revenue_DB[[#This Row],[Region]]="South")</f>
        <v>1</v>
      </c>
      <c r="M37" s="11" t="b">
        <f>NOT(Revenue_DB[[#This Row],[Discount (%)]]=0)</f>
        <v>0</v>
      </c>
      <c r="N37" s="10" t="str">
        <f>RIGHT(Revenue_DB[[#This Row],[Order ID]],4)</f>
        <v>1036</v>
      </c>
      <c r="O37" s="10" t="str">
        <f>LEFT(Revenue_DB[[#This Row],[Order ID]],3)</f>
        <v>ORD</v>
      </c>
      <c r="P37" s="10" t="str">
        <f>MID(Revenue_DB[[#This Row],[Order ID]],5,4)</f>
        <v>1036</v>
      </c>
      <c r="Q37" s="10" t="str">
        <f>UPPER(Revenue_DB[[#This Row],[Region]])</f>
        <v>NORTH</v>
      </c>
      <c r="R37" s="10" t="str">
        <f>LOWER(Revenue_DB[[#This Row],[Product]])</f>
        <v>wireless mouse</v>
      </c>
      <c r="S37" s="10" t="str">
        <f>PROPER(Revenue_DB[[#This Row],[LOWER '[Product']]])</f>
        <v>Wireless Mouse</v>
      </c>
      <c r="T37" s="10">
        <f>LEN(Revenue_DB[[#This Row],[Product]])</f>
        <v>14</v>
      </c>
    </row>
    <row r="38" spans="1:20" ht="15" thickBot="1" x14ac:dyDescent="0.35">
      <c r="A38" s="5" t="s">
        <v>106</v>
      </c>
      <c r="B38" s="6" t="s">
        <v>75</v>
      </c>
      <c r="C38" s="6" t="s">
        <v>37</v>
      </c>
      <c r="D38" s="6" t="s">
        <v>66</v>
      </c>
      <c r="E38" s="6" t="s">
        <v>39</v>
      </c>
      <c r="F38" s="6">
        <v>5</v>
      </c>
      <c r="G38" s="6">
        <v>9.99</v>
      </c>
      <c r="H38" s="6">
        <v>20</v>
      </c>
      <c r="I38" s="7">
        <v>39.96</v>
      </c>
      <c r="J38" s="6" t="str">
        <f>IF(Revenue_DB[[#This Row],[Units Sold]]&gt;30,"High Sales","Low Sales")</f>
        <v>Low Sales</v>
      </c>
      <c r="K38" s="6" t="b">
        <f>AND(Revenue_DB[[#This Row],[Units Sold]]&gt;20,Revenue_DB[[#This Row],[Discount (%)]]&gt;=10)</f>
        <v>0</v>
      </c>
      <c r="L38" s="7" t="b">
        <f>OR(Revenue_DB[[#This Row],[Region]]="North",Revenue_DB[[#This Row],[Region]]="South")</f>
        <v>1</v>
      </c>
      <c r="M38" s="7" t="b">
        <f>NOT(Revenue_DB[[#This Row],[Discount (%)]]=0)</f>
        <v>1</v>
      </c>
      <c r="N38" s="6" t="str">
        <f>RIGHT(Revenue_DB[[#This Row],[Order ID]],4)</f>
        <v>1037</v>
      </c>
      <c r="O38" s="6" t="str">
        <f>LEFT(Revenue_DB[[#This Row],[Order ID]],3)</f>
        <v>ORD</v>
      </c>
      <c r="P38" s="6" t="str">
        <f>MID(Revenue_DB[[#This Row],[Order ID]],5,4)</f>
        <v>1037</v>
      </c>
      <c r="Q38" s="6" t="str">
        <f>UPPER(Revenue_DB[[#This Row],[Region]])</f>
        <v>NORTH</v>
      </c>
      <c r="R38" s="6" t="str">
        <f>LOWER(Revenue_DB[[#This Row],[Product]])</f>
        <v>pen pack</v>
      </c>
      <c r="S38" s="6" t="str">
        <f>PROPER(Revenue_DB[[#This Row],[LOWER '[Product']]])</f>
        <v>Pen Pack</v>
      </c>
      <c r="T38" s="6">
        <f>LEN(Revenue_DB[[#This Row],[Product]])</f>
        <v>8</v>
      </c>
    </row>
    <row r="39" spans="1:20" ht="15" thickBot="1" x14ac:dyDescent="0.35">
      <c r="A39" s="8" t="s">
        <v>107</v>
      </c>
      <c r="B39" s="9">
        <v>45296</v>
      </c>
      <c r="C39" s="10" t="s">
        <v>49</v>
      </c>
      <c r="D39" s="10" t="s">
        <v>46</v>
      </c>
      <c r="E39" s="10" t="s">
        <v>47</v>
      </c>
      <c r="F39" s="10">
        <v>35</v>
      </c>
      <c r="G39" s="10">
        <v>49.99</v>
      </c>
      <c r="H39" s="10">
        <v>5</v>
      </c>
      <c r="I39" s="11">
        <v>1662.17</v>
      </c>
      <c r="J39" s="10" t="str">
        <f>IF(Revenue_DB[[#This Row],[Units Sold]]&gt;30,"High Sales","Low Sales")</f>
        <v>High Sales</v>
      </c>
      <c r="K39" s="10" t="b">
        <f>AND(Revenue_DB[[#This Row],[Units Sold]]&gt;20,Revenue_DB[[#This Row],[Discount (%)]]&gt;=10)</f>
        <v>0</v>
      </c>
      <c r="L39" s="11" t="b">
        <f>OR(Revenue_DB[[#This Row],[Region]]="North",Revenue_DB[[#This Row],[Region]]="South")</f>
        <v>0</v>
      </c>
      <c r="M39" s="11" t="b">
        <f>NOT(Revenue_DB[[#This Row],[Discount (%)]]=0)</f>
        <v>1</v>
      </c>
      <c r="N39" s="10" t="str">
        <f>RIGHT(Revenue_DB[[#This Row],[Order ID]],4)</f>
        <v>1038</v>
      </c>
      <c r="O39" s="10" t="str">
        <f>LEFT(Revenue_DB[[#This Row],[Order ID]],3)</f>
        <v>ORD</v>
      </c>
      <c r="P39" s="10" t="str">
        <f>MID(Revenue_DB[[#This Row],[Order ID]],5,4)</f>
        <v>1038</v>
      </c>
      <c r="Q39" s="10" t="str">
        <f>UPPER(Revenue_DB[[#This Row],[Region]])</f>
        <v>WEST</v>
      </c>
      <c r="R39" s="10" t="str">
        <f>LOWER(Revenue_DB[[#This Row],[Product]])</f>
        <v>desk lamp</v>
      </c>
      <c r="S39" s="10" t="str">
        <f>PROPER(Revenue_DB[[#This Row],[LOWER '[Product']]])</f>
        <v>Desk Lamp</v>
      </c>
      <c r="T39" s="10">
        <f>LEN(Revenue_DB[[#This Row],[Product]])</f>
        <v>9</v>
      </c>
    </row>
    <row r="40" spans="1:20" ht="15" thickBot="1" x14ac:dyDescent="0.35">
      <c r="A40" s="5" t="s">
        <v>108</v>
      </c>
      <c r="B40" s="6" t="s">
        <v>109</v>
      </c>
      <c r="C40" s="6" t="s">
        <v>49</v>
      </c>
      <c r="D40" s="6" t="s">
        <v>46</v>
      </c>
      <c r="E40" s="6" t="s">
        <v>47</v>
      </c>
      <c r="F40" s="6">
        <v>23</v>
      </c>
      <c r="G40" s="6">
        <v>49.99</v>
      </c>
      <c r="H40" s="6">
        <v>15</v>
      </c>
      <c r="I40" s="7">
        <v>977.3</v>
      </c>
      <c r="J40" s="6" t="str">
        <f>IF(Revenue_DB[[#This Row],[Units Sold]]&gt;30,"High Sales","Low Sales")</f>
        <v>Low Sales</v>
      </c>
      <c r="K40" s="6" t="b">
        <f>AND(Revenue_DB[[#This Row],[Units Sold]]&gt;20,Revenue_DB[[#This Row],[Discount (%)]]&gt;=10)</f>
        <v>1</v>
      </c>
      <c r="L40" s="7" t="b">
        <f>OR(Revenue_DB[[#This Row],[Region]]="North",Revenue_DB[[#This Row],[Region]]="South")</f>
        <v>0</v>
      </c>
      <c r="M40" s="7" t="b">
        <f>NOT(Revenue_DB[[#This Row],[Discount (%)]]=0)</f>
        <v>1</v>
      </c>
      <c r="N40" s="6" t="str">
        <f>RIGHT(Revenue_DB[[#This Row],[Order ID]],4)</f>
        <v>1039</v>
      </c>
      <c r="O40" s="6" t="str">
        <f>LEFT(Revenue_DB[[#This Row],[Order ID]],3)</f>
        <v>ORD</v>
      </c>
      <c r="P40" s="6" t="str">
        <f>MID(Revenue_DB[[#This Row],[Order ID]],5,4)</f>
        <v>1039</v>
      </c>
      <c r="Q40" s="6" t="str">
        <f>UPPER(Revenue_DB[[#This Row],[Region]])</f>
        <v>WEST</v>
      </c>
      <c r="R40" s="6" t="str">
        <f>LOWER(Revenue_DB[[#This Row],[Product]])</f>
        <v>desk lamp</v>
      </c>
      <c r="S40" s="6" t="str">
        <f>PROPER(Revenue_DB[[#This Row],[LOWER '[Product']]])</f>
        <v>Desk Lamp</v>
      </c>
      <c r="T40" s="6">
        <f>LEN(Revenue_DB[[#This Row],[Product]])</f>
        <v>9</v>
      </c>
    </row>
    <row r="41" spans="1:20" ht="15" thickBot="1" x14ac:dyDescent="0.35">
      <c r="A41" s="8" t="s">
        <v>110</v>
      </c>
      <c r="B41" s="9">
        <v>45477</v>
      </c>
      <c r="C41" s="10" t="s">
        <v>37</v>
      </c>
      <c r="D41" s="10" t="s">
        <v>56</v>
      </c>
      <c r="E41" s="10" t="s">
        <v>43</v>
      </c>
      <c r="F41" s="10">
        <v>23</v>
      </c>
      <c r="G41" s="10">
        <v>499.99</v>
      </c>
      <c r="H41" s="10">
        <v>15</v>
      </c>
      <c r="I41" s="11">
        <v>9774.7999999999993</v>
      </c>
      <c r="J41" s="10" t="str">
        <f>IF(Revenue_DB[[#This Row],[Units Sold]]&gt;30,"High Sales","Low Sales")</f>
        <v>Low Sales</v>
      </c>
      <c r="K41" s="10" t="b">
        <f>AND(Revenue_DB[[#This Row],[Units Sold]]&gt;20,Revenue_DB[[#This Row],[Discount (%)]]&gt;=10)</f>
        <v>1</v>
      </c>
      <c r="L41" s="11" t="b">
        <f>OR(Revenue_DB[[#This Row],[Region]]="North",Revenue_DB[[#This Row],[Region]]="South")</f>
        <v>1</v>
      </c>
      <c r="M41" s="11" t="b">
        <f>NOT(Revenue_DB[[#This Row],[Discount (%)]]=0)</f>
        <v>1</v>
      </c>
      <c r="N41" s="10" t="str">
        <f>RIGHT(Revenue_DB[[#This Row],[Order ID]],4)</f>
        <v>1040</v>
      </c>
      <c r="O41" s="10" t="str">
        <f>LEFT(Revenue_DB[[#This Row],[Order ID]],3)</f>
        <v>ORD</v>
      </c>
      <c r="P41" s="10" t="str">
        <f>MID(Revenue_DB[[#This Row],[Order ID]],5,4)</f>
        <v>1040</v>
      </c>
      <c r="Q41" s="10" t="str">
        <f>UPPER(Revenue_DB[[#This Row],[Region]])</f>
        <v>NORTH</v>
      </c>
      <c r="R41" s="10" t="str">
        <f>LOWER(Revenue_DB[[#This Row],[Product]])</f>
        <v>monitor 27"</v>
      </c>
      <c r="S41" s="10" t="str">
        <f>PROPER(Revenue_DB[[#This Row],[LOWER '[Product']]])</f>
        <v>Monitor 27"</v>
      </c>
      <c r="T41" s="10">
        <f>LEN(Revenue_DB[[#This Row],[Product]])</f>
        <v>11</v>
      </c>
    </row>
    <row r="42" spans="1:20" ht="15" thickBot="1" x14ac:dyDescent="0.35">
      <c r="A42" s="5" t="s">
        <v>111</v>
      </c>
      <c r="B42" s="6" t="s">
        <v>112</v>
      </c>
      <c r="C42" s="6" t="s">
        <v>37</v>
      </c>
      <c r="D42" s="6" t="s">
        <v>42</v>
      </c>
      <c r="E42" s="6" t="s">
        <v>43</v>
      </c>
      <c r="F42" s="6">
        <v>4</v>
      </c>
      <c r="G42" s="6">
        <v>29.99</v>
      </c>
      <c r="H42" s="6">
        <v>15</v>
      </c>
      <c r="I42" s="7">
        <v>101.97</v>
      </c>
      <c r="J42" s="6" t="str">
        <f>IF(Revenue_DB[[#This Row],[Units Sold]]&gt;30,"High Sales","Low Sales")</f>
        <v>Low Sales</v>
      </c>
      <c r="K42" s="6" t="b">
        <f>AND(Revenue_DB[[#This Row],[Units Sold]]&gt;20,Revenue_DB[[#This Row],[Discount (%)]]&gt;=10)</f>
        <v>0</v>
      </c>
      <c r="L42" s="7" t="b">
        <f>OR(Revenue_DB[[#This Row],[Region]]="North",Revenue_DB[[#This Row],[Region]]="South")</f>
        <v>1</v>
      </c>
      <c r="M42" s="7" t="b">
        <f>NOT(Revenue_DB[[#This Row],[Discount (%)]]=0)</f>
        <v>1</v>
      </c>
      <c r="N42" s="6" t="str">
        <f>RIGHT(Revenue_DB[[#This Row],[Order ID]],4)</f>
        <v>1041</v>
      </c>
      <c r="O42" s="6" t="str">
        <f>LEFT(Revenue_DB[[#This Row],[Order ID]],3)</f>
        <v>ORD</v>
      </c>
      <c r="P42" s="6" t="str">
        <f>MID(Revenue_DB[[#This Row],[Order ID]],5,4)</f>
        <v>1041</v>
      </c>
      <c r="Q42" s="6" t="str">
        <f>UPPER(Revenue_DB[[#This Row],[Region]])</f>
        <v>NORTH</v>
      </c>
      <c r="R42" s="6" t="str">
        <f>LOWER(Revenue_DB[[#This Row],[Product]])</f>
        <v>wireless mouse</v>
      </c>
      <c r="S42" s="6" t="str">
        <f>PROPER(Revenue_DB[[#This Row],[LOWER '[Product']]])</f>
        <v>Wireless Mouse</v>
      </c>
      <c r="T42" s="6">
        <f>LEN(Revenue_DB[[#This Row],[Product]])</f>
        <v>14</v>
      </c>
    </row>
    <row r="43" spans="1:20" ht="15" thickBot="1" x14ac:dyDescent="0.35">
      <c r="A43" s="8" t="s">
        <v>113</v>
      </c>
      <c r="B43" s="10" t="s">
        <v>114</v>
      </c>
      <c r="C43" s="10" t="s">
        <v>71</v>
      </c>
      <c r="D43" s="10" t="s">
        <v>46</v>
      </c>
      <c r="E43" s="10" t="s">
        <v>47</v>
      </c>
      <c r="F43" s="10">
        <v>13</v>
      </c>
      <c r="G43" s="10">
        <v>49.99</v>
      </c>
      <c r="H43" s="10">
        <v>20</v>
      </c>
      <c r="I43" s="11">
        <v>519.9</v>
      </c>
      <c r="J43" s="10" t="str">
        <f>IF(Revenue_DB[[#This Row],[Units Sold]]&gt;30,"High Sales","Low Sales")</f>
        <v>Low Sales</v>
      </c>
      <c r="K43" s="10" t="b">
        <f>AND(Revenue_DB[[#This Row],[Units Sold]]&gt;20,Revenue_DB[[#This Row],[Discount (%)]]&gt;=10)</f>
        <v>0</v>
      </c>
      <c r="L43" s="11" t="b">
        <f>OR(Revenue_DB[[#This Row],[Region]]="North",Revenue_DB[[#This Row],[Region]]="South")</f>
        <v>1</v>
      </c>
      <c r="M43" s="11" t="b">
        <f>NOT(Revenue_DB[[#This Row],[Discount (%)]]=0)</f>
        <v>1</v>
      </c>
      <c r="N43" s="10" t="str">
        <f>RIGHT(Revenue_DB[[#This Row],[Order ID]],4)</f>
        <v>1042</v>
      </c>
      <c r="O43" s="10" t="str">
        <f>LEFT(Revenue_DB[[#This Row],[Order ID]],3)</f>
        <v>ORD</v>
      </c>
      <c r="P43" s="10" t="str">
        <f>MID(Revenue_DB[[#This Row],[Order ID]],5,4)</f>
        <v>1042</v>
      </c>
      <c r="Q43" s="10" t="str">
        <f>UPPER(Revenue_DB[[#This Row],[Region]])</f>
        <v>SOUTH</v>
      </c>
      <c r="R43" s="10" t="str">
        <f>LOWER(Revenue_DB[[#This Row],[Product]])</f>
        <v>desk lamp</v>
      </c>
      <c r="S43" s="10" t="str">
        <f>PROPER(Revenue_DB[[#This Row],[LOWER '[Product']]])</f>
        <v>Desk Lamp</v>
      </c>
      <c r="T43" s="10">
        <f>LEN(Revenue_DB[[#This Row],[Product]])</f>
        <v>9</v>
      </c>
    </row>
    <row r="44" spans="1:20" ht="15" thickBot="1" x14ac:dyDescent="0.35">
      <c r="A44" s="5" t="s">
        <v>115</v>
      </c>
      <c r="B44" s="6" t="s">
        <v>116</v>
      </c>
      <c r="C44" s="6" t="s">
        <v>49</v>
      </c>
      <c r="D44" s="6" t="s">
        <v>84</v>
      </c>
      <c r="E44" s="6" t="s">
        <v>47</v>
      </c>
      <c r="F44" s="6">
        <v>18</v>
      </c>
      <c r="G44" s="6">
        <v>349.99</v>
      </c>
      <c r="H44" s="6">
        <v>15</v>
      </c>
      <c r="I44" s="7">
        <v>5354.85</v>
      </c>
      <c r="J44" s="6" t="str">
        <f>IF(Revenue_DB[[#This Row],[Units Sold]]&gt;30,"High Sales","Low Sales")</f>
        <v>Low Sales</v>
      </c>
      <c r="K44" s="6" t="b">
        <f>AND(Revenue_DB[[#This Row],[Units Sold]]&gt;20,Revenue_DB[[#This Row],[Discount (%)]]&gt;=10)</f>
        <v>0</v>
      </c>
      <c r="L44" s="7" t="b">
        <f>OR(Revenue_DB[[#This Row],[Region]]="North",Revenue_DB[[#This Row],[Region]]="South")</f>
        <v>0</v>
      </c>
      <c r="M44" s="7" t="b">
        <f>NOT(Revenue_DB[[#This Row],[Discount (%)]]=0)</f>
        <v>1</v>
      </c>
      <c r="N44" s="6" t="str">
        <f>RIGHT(Revenue_DB[[#This Row],[Order ID]],4)</f>
        <v>1043</v>
      </c>
      <c r="O44" s="6" t="str">
        <f>LEFT(Revenue_DB[[#This Row],[Order ID]],3)</f>
        <v>ORD</v>
      </c>
      <c r="P44" s="6" t="str">
        <f>MID(Revenue_DB[[#This Row],[Order ID]],5,4)</f>
        <v>1043</v>
      </c>
      <c r="Q44" s="6" t="str">
        <f>UPPER(Revenue_DB[[#This Row],[Region]])</f>
        <v>WEST</v>
      </c>
      <c r="R44" s="6" t="str">
        <f>LOWER(Revenue_DB[[#This Row],[Product]])</f>
        <v>office chair</v>
      </c>
      <c r="S44" s="6" t="str">
        <f>PROPER(Revenue_DB[[#This Row],[LOWER '[Product']]])</f>
        <v>Office Chair</v>
      </c>
      <c r="T44" s="6">
        <f>LEN(Revenue_DB[[#This Row],[Product]])</f>
        <v>12</v>
      </c>
    </row>
    <row r="45" spans="1:20" ht="15" thickBot="1" x14ac:dyDescent="0.35">
      <c r="A45" s="8" t="s">
        <v>117</v>
      </c>
      <c r="B45" s="9">
        <v>45478</v>
      </c>
      <c r="C45" s="10" t="s">
        <v>49</v>
      </c>
      <c r="D45" s="10" t="s">
        <v>93</v>
      </c>
      <c r="E45" s="10" t="s">
        <v>47</v>
      </c>
      <c r="F45" s="10">
        <v>7</v>
      </c>
      <c r="G45" s="10">
        <v>199.99</v>
      </c>
      <c r="H45" s="10">
        <v>0</v>
      </c>
      <c r="I45" s="11">
        <v>1399.93</v>
      </c>
      <c r="J45" s="10" t="str">
        <f>IF(Revenue_DB[[#This Row],[Units Sold]]&gt;30,"High Sales","Low Sales")</f>
        <v>Low Sales</v>
      </c>
      <c r="K45" s="10" t="b">
        <f>AND(Revenue_DB[[#This Row],[Units Sold]]&gt;20,Revenue_DB[[#This Row],[Discount (%)]]&gt;=10)</f>
        <v>0</v>
      </c>
      <c r="L45" s="11" t="b">
        <f>OR(Revenue_DB[[#This Row],[Region]]="North",Revenue_DB[[#This Row],[Region]]="South")</f>
        <v>0</v>
      </c>
      <c r="M45" s="11" t="b">
        <f>NOT(Revenue_DB[[#This Row],[Discount (%)]]=0)</f>
        <v>0</v>
      </c>
      <c r="N45" s="10" t="str">
        <f>RIGHT(Revenue_DB[[#This Row],[Order ID]],4)</f>
        <v>1044</v>
      </c>
      <c r="O45" s="10" t="str">
        <f>LEFT(Revenue_DB[[#This Row],[Order ID]],3)</f>
        <v>ORD</v>
      </c>
      <c r="P45" s="10" t="str">
        <f>MID(Revenue_DB[[#This Row],[Order ID]],5,4)</f>
        <v>1044</v>
      </c>
      <c r="Q45" s="10" t="str">
        <f>UPPER(Revenue_DB[[#This Row],[Region]])</f>
        <v>WEST</v>
      </c>
      <c r="R45" s="10" t="str">
        <f>LOWER(Revenue_DB[[#This Row],[Product]])</f>
        <v>filing cabinet</v>
      </c>
      <c r="S45" s="10" t="str">
        <f>PROPER(Revenue_DB[[#This Row],[LOWER '[Product']]])</f>
        <v>Filing Cabinet</v>
      </c>
      <c r="T45" s="10">
        <f>LEN(Revenue_DB[[#This Row],[Product]])</f>
        <v>14</v>
      </c>
    </row>
    <row r="46" spans="1:20" ht="15" thickBot="1" x14ac:dyDescent="0.35">
      <c r="A46" s="5" t="s">
        <v>118</v>
      </c>
      <c r="B46" s="6" t="s">
        <v>119</v>
      </c>
      <c r="C46" s="6" t="s">
        <v>37</v>
      </c>
      <c r="D46" s="6" t="s">
        <v>42</v>
      </c>
      <c r="E46" s="6" t="s">
        <v>43</v>
      </c>
      <c r="F46" s="6">
        <v>49</v>
      </c>
      <c r="G46" s="6">
        <v>29.99</v>
      </c>
      <c r="H46" s="6">
        <v>5</v>
      </c>
      <c r="I46" s="7">
        <v>1396.03</v>
      </c>
      <c r="J46" s="6" t="str">
        <f>IF(Revenue_DB[[#This Row],[Units Sold]]&gt;30,"High Sales","Low Sales")</f>
        <v>High Sales</v>
      </c>
      <c r="K46" s="6" t="b">
        <f>AND(Revenue_DB[[#This Row],[Units Sold]]&gt;20,Revenue_DB[[#This Row],[Discount (%)]]&gt;=10)</f>
        <v>0</v>
      </c>
      <c r="L46" s="7" t="b">
        <f>OR(Revenue_DB[[#This Row],[Region]]="North",Revenue_DB[[#This Row],[Region]]="South")</f>
        <v>1</v>
      </c>
      <c r="M46" s="7" t="b">
        <f>NOT(Revenue_DB[[#This Row],[Discount (%)]]=0)</f>
        <v>1</v>
      </c>
      <c r="N46" s="6" t="str">
        <f>RIGHT(Revenue_DB[[#This Row],[Order ID]],4)</f>
        <v>1045</v>
      </c>
      <c r="O46" s="6" t="str">
        <f>LEFT(Revenue_DB[[#This Row],[Order ID]],3)</f>
        <v>ORD</v>
      </c>
      <c r="P46" s="6" t="str">
        <f>MID(Revenue_DB[[#This Row],[Order ID]],5,4)</f>
        <v>1045</v>
      </c>
      <c r="Q46" s="6" t="str">
        <f>UPPER(Revenue_DB[[#This Row],[Region]])</f>
        <v>NORTH</v>
      </c>
      <c r="R46" s="6" t="str">
        <f>LOWER(Revenue_DB[[#This Row],[Product]])</f>
        <v>wireless mouse</v>
      </c>
      <c r="S46" s="6" t="str">
        <f>PROPER(Revenue_DB[[#This Row],[LOWER '[Product']]])</f>
        <v>Wireless Mouse</v>
      </c>
      <c r="T46" s="6">
        <f>LEN(Revenue_DB[[#This Row],[Product]])</f>
        <v>14</v>
      </c>
    </row>
    <row r="47" spans="1:20" ht="15" thickBot="1" x14ac:dyDescent="0.35">
      <c r="A47" s="8" t="s">
        <v>120</v>
      </c>
      <c r="B47" s="10" t="s">
        <v>121</v>
      </c>
      <c r="C47" s="10" t="s">
        <v>49</v>
      </c>
      <c r="D47" s="10" t="s">
        <v>72</v>
      </c>
      <c r="E47" s="10" t="s">
        <v>43</v>
      </c>
      <c r="F47" s="10">
        <v>14</v>
      </c>
      <c r="G47" s="10">
        <v>89.99</v>
      </c>
      <c r="H47" s="10">
        <v>15</v>
      </c>
      <c r="I47" s="11">
        <v>1070.8800000000001</v>
      </c>
      <c r="J47" s="10" t="str">
        <f>IF(Revenue_DB[[#This Row],[Units Sold]]&gt;30,"High Sales","Low Sales")</f>
        <v>Low Sales</v>
      </c>
      <c r="K47" s="10" t="b">
        <f>AND(Revenue_DB[[#This Row],[Units Sold]]&gt;20,Revenue_DB[[#This Row],[Discount (%)]]&gt;=10)</f>
        <v>0</v>
      </c>
      <c r="L47" s="11" t="b">
        <f>OR(Revenue_DB[[#This Row],[Region]]="North",Revenue_DB[[#This Row],[Region]]="South")</f>
        <v>0</v>
      </c>
      <c r="M47" s="11" t="b">
        <f>NOT(Revenue_DB[[#This Row],[Discount (%)]]=0)</f>
        <v>1</v>
      </c>
      <c r="N47" s="10" t="str">
        <f>RIGHT(Revenue_DB[[#This Row],[Order ID]],4)</f>
        <v>1046</v>
      </c>
      <c r="O47" s="10" t="str">
        <f>LEFT(Revenue_DB[[#This Row],[Order ID]],3)</f>
        <v>ORD</v>
      </c>
      <c r="P47" s="10" t="str">
        <f>MID(Revenue_DB[[#This Row],[Order ID]],5,4)</f>
        <v>1046</v>
      </c>
      <c r="Q47" s="10" t="str">
        <f>UPPER(Revenue_DB[[#This Row],[Region]])</f>
        <v>WEST</v>
      </c>
      <c r="R47" s="10" t="str">
        <f>LOWER(Revenue_DB[[#This Row],[Product]])</f>
        <v>keyboard</v>
      </c>
      <c r="S47" s="10" t="str">
        <f>PROPER(Revenue_DB[[#This Row],[LOWER '[Product']]])</f>
        <v>Keyboard</v>
      </c>
      <c r="T47" s="10">
        <f>LEN(Revenue_DB[[#This Row],[Product]])</f>
        <v>8</v>
      </c>
    </row>
    <row r="48" spans="1:20" ht="15" thickBot="1" x14ac:dyDescent="0.35">
      <c r="A48" s="5" t="s">
        <v>122</v>
      </c>
      <c r="B48" s="6" t="s">
        <v>123</v>
      </c>
      <c r="C48" s="6" t="s">
        <v>49</v>
      </c>
      <c r="D48" s="6" t="s">
        <v>59</v>
      </c>
      <c r="E48" s="6" t="s">
        <v>43</v>
      </c>
      <c r="F48" s="6">
        <v>25</v>
      </c>
      <c r="G48" s="6">
        <v>1299.99</v>
      </c>
      <c r="H48" s="6">
        <v>10</v>
      </c>
      <c r="I48" s="7">
        <v>29249.78</v>
      </c>
      <c r="J48" s="6" t="str">
        <f>IF(Revenue_DB[[#This Row],[Units Sold]]&gt;30,"High Sales","Low Sales")</f>
        <v>Low Sales</v>
      </c>
      <c r="K48" s="6" t="b">
        <f>AND(Revenue_DB[[#This Row],[Units Sold]]&gt;20,Revenue_DB[[#This Row],[Discount (%)]]&gt;=10)</f>
        <v>1</v>
      </c>
      <c r="L48" s="7" t="b">
        <f>OR(Revenue_DB[[#This Row],[Region]]="North",Revenue_DB[[#This Row],[Region]]="South")</f>
        <v>0</v>
      </c>
      <c r="M48" s="7" t="b">
        <f>NOT(Revenue_DB[[#This Row],[Discount (%)]]=0)</f>
        <v>1</v>
      </c>
      <c r="N48" s="6" t="str">
        <f>RIGHT(Revenue_DB[[#This Row],[Order ID]],4)</f>
        <v>1047</v>
      </c>
      <c r="O48" s="6" t="str">
        <f>LEFT(Revenue_DB[[#This Row],[Order ID]],3)</f>
        <v>ORD</v>
      </c>
      <c r="P48" s="6" t="str">
        <f>MID(Revenue_DB[[#This Row],[Order ID]],5,4)</f>
        <v>1047</v>
      </c>
      <c r="Q48" s="6" t="str">
        <f>UPPER(Revenue_DB[[#This Row],[Region]])</f>
        <v>WEST</v>
      </c>
      <c r="R48" s="6" t="str">
        <f>LOWER(Revenue_DB[[#This Row],[Product]])</f>
        <v>laptop pro</v>
      </c>
      <c r="S48" s="6" t="str">
        <f>PROPER(Revenue_DB[[#This Row],[LOWER '[Product']]])</f>
        <v>Laptop Pro</v>
      </c>
      <c r="T48" s="6">
        <f>LEN(Revenue_DB[[#This Row],[Product]])</f>
        <v>10</v>
      </c>
    </row>
    <row r="49" spans="1:20" ht="15" thickBot="1" x14ac:dyDescent="0.35">
      <c r="A49" s="8" t="s">
        <v>124</v>
      </c>
      <c r="B49" s="10" t="s">
        <v>125</v>
      </c>
      <c r="C49" s="10" t="s">
        <v>49</v>
      </c>
      <c r="D49" s="10" t="s">
        <v>93</v>
      </c>
      <c r="E49" s="10" t="s">
        <v>47</v>
      </c>
      <c r="F49" s="10">
        <v>43</v>
      </c>
      <c r="G49" s="10">
        <v>199.99</v>
      </c>
      <c r="H49" s="10">
        <v>15</v>
      </c>
      <c r="I49" s="11">
        <v>7309.63</v>
      </c>
      <c r="J49" s="10" t="str">
        <f>IF(Revenue_DB[[#This Row],[Units Sold]]&gt;30,"High Sales","Low Sales")</f>
        <v>High Sales</v>
      </c>
      <c r="K49" s="10" t="b">
        <f>AND(Revenue_DB[[#This Row],[Units Sold]]&gt;20,Revenue_DB[[#This Row],[Discount (%)]]&gt;=10)</f>
        <v>1</v>
      </c>
      <c r="L49" s="11" t="b">
        <f>OR(Revenue_DB[[#This Row],[Region]]="North",Revenue_DB[[#This Row],[Region]]="South")</f>
        <v>0</v>
      </c>
      <c r="M49" s="11" t="b">
        <f>NOT(Revenue_DB[[#This Row],[Discount (%)]]=0)</f>
        <v>1</v>
      </c>
      <c r="N49" s="10" t="str">
        <f>RIGHT(Revenue_DB[[#This Row],[Order ID]],4)</f>
        <v>1048</v>
      </c>
      <c r="O49" s="10" t="str">
        <f>LEFT(Revenue_DB[[#This Row],[Order ID]],3)</f>
        <v>ORD</v>
      </c>
      <c r="P49" s="10" t="str">
        <f>MID(Revenue_DB[[#This Row],[Order ID]],5,4)</f>
        <v>1048</v>
      </c>
      <c r="Q49" s="10" t="str">
        <f>UPPER(Revenue_DB[[#This Row],[Region]])</f>
        <v>WEST</v>
      </c>
      <c r="R49" s="10" t="str">
        <f>LOWER(Revenue_DB[[#This Row],[Product]])</f>
        <v>filing cabinet</v>
      </c>
      <c r="S49" s="10" t="str">
        <f>PROPER(Revenue_DB[[#This Row],[LOWER '[Product']]])</f>
        <v>Filing Cabinet</v>
      </c>
      <c r="T49" s="10">
        <f>LEN(Revenue_DB[[#This Row],[Product]])</f>
        <v>14</v>
      </c>
    </row>
    <row r="50" spans="1:20" ht="15" thickBot="1" x14ac:dyDescent="0.35">
      <c r="A50" s="5" t="s">
        <v>126</v>
      </c>
      <c r="B50" s="6" t="s">
        <v>127</v>
      </c>
      <c r="C50" s="6" t="s">
        <v>53</v>
      </c>
      <c r="D50" s="6" t="s">
        <v>46</v>
      </c>
      <c r="E50" s="6" t="s">
        <v>47</v>
      </c>
      <c r="F50" s="6">
        <v>4</v>
      </c>
      <c r="G50" s="6">
        <v>49.99</v>
      </c>
      <c r="H50" s="6">
        <v>20</v>
      </c>
      <c r="I50" s="7">
        <v>159.97</v>
      </c>
      <c r="J50" s="6" t="str">
        <f>IF(Revenue_DB[[#This Row],[Units Sold]]&gt;30,"High Sales","Low Sales")</f>
        <v>Low Sales</v>
      </c>
      <c r="K50" s="6" t="b">
        <f>AND(Revenue_DB[[#This Row],[Units Sold]]&gt;20,Revenue_DB[[#This Row],[Discount (%)]]&gt;=10)</f>
        <v>0</v>
      </c>
      <c r="L50" s="7" t="b">
        <f>OR(Revenue_DB[[#This Row],[Region]]="North",Revenue_DB[[#This Row],[Region]]="South")</f>
        <v>0</v>
      </c>
      <c r="M50" s="7" t="b">
        <f>NOT(Revenue_DB[[#This Row],[Discount (%)]]=0)</f>
        <v>1</v>
      </c>
      <c r="N50" s="6" t="str">
        <f>RIGHT(Revenue_DB[[#This Row],[Order ID]],4)</f>
        <v>1049</v>
      </c>
      <c r="O50" s="6" t="str">
        <f>LEFT(Revenue_DB[[#This Row],[Order ID]],3)</f>
        <v>ORD</v>
      </c>
      <c r="P50" s="6" t="str">
        <f>MID(Revenue_DB[[#This Row],[Order ID]],5,4)</f>
        <v>1049</v>
      </c>
      <c r="Q50" s="6" t="str">
        <f>UPPER(Revenue_DB[[#This Row],[Region]])</f>
        <v>EAST</v>
      </c>
      <c r="R50" s="6" t="str">
        <f>LOWER(Revenue_DB[[#This Row],[Product]])</f>
        <v>desk lamp</v>
      </c>
      <c r="S50" s="6" t="str">
        <f>PROPER(Revenue_DB[[#This Row],[LOWER '[Product']]])</f>
        <v>Desk Lamp</v>
      </c>
      <c r="T50" s="6">
        <f>LEN(Revenue_DB[[#This Row],[Product]])</f>
        <v>9</v>
      </c>
    </row>
    <row r="51" spans="1:20" x14ac:dyDescent="0.3">
      <c r="A51" s="14" t="s">
        <v>128</v>
      </c>
      <c r="B51" s="15">
        <v>45392</v>
      </c>
      <c r="C51" s="16" t="s">
        <v>53</v>
      </c>
      <c r="D51" s="16" t="s">
        <v>59</v>
      </c>
      <c r="E51" s="16" t="s">
        <v>43</v>
      </c>
      <c r="F51" s="16">
        <v>4</v>
      </c>
      <c r="G51" s="16">
        <v>1299.99</v>
      </c>
      <c r="H51" s="16">
        <v>20</v>
      </c>
      <c r="I51" s="17">
        <v>4159.97</v>
      </c>
      <c r="J51" s="16" t="str">
        <f>IF(Revenue_DB[[#This Row],[Units Sold]]&gt;30,"High Sales","Low Sales")</f>
        <v>Low Sales</v>
      </c>
      <c r="K51" s="16" t="b">
        <f>AND(Revenue_DB[[#This Row],[Units Sold]]&gt;20,Revenue_DB[[#This Row],[Discount (%)]]&gt;=10)</f>
        <v>0</v>
      </c>
      <c r="L51" s="17" t="b">
        <f>OR(Revenue_DB[[#This Row],[Region]]="North",Revenue_DB[[#This Row],[Region]]="South")</f>
        <v>0</v>
      </c>
      <c r="M51" s="17" t="b">
        <f>NOT(Revenue_DB[[#This Row],[Discount (%)]]=0)</f>
        <v>1</v>
      </c>
      <c r="N51" s="16" t="str">
        <f>RIGHT(Revenue_DB[[#This Row],[Order ID]],4)</f>
        <v>1050</v>
      </c>
      <c r="O51" s="16" t="str">
        <f>LEFT(Revenue_DB[[#This Row],[Order ID]],3)</f>
        <v>ORD</v>
      </c>
      <c r="P51" s="16" t="str">
        <f>MID(Revenue_DB[[#This Row],[Order ID]],5,4)</f>
        <v>1050</v>
      </c>
      <c r="Q51" s="16" t="str">
        <f>UPPER(Revenue_DB[[#This Row],[Region]])</f>
        <v>EAST</v>
      </c>
      <c r="R51" s="16" t="str">
        <f>LOWER(Revenue_DB[[#This Row],[Product]])</f>
        <v>laptop pro</v>
      </c>
      <c r="S51" s="16" t="str">
        <f>PROPER(Revenue_DB[[#This Row],[LOWER '[Product']]])</f>
        <v>Laptop Pro</v>
      </c>
      <c r="T51" s="16">
        <f>LEN(Revenue_DB[[#This Row],[Product]])</f>
        <v>10</v>
      </c>
    </row>
  </sheetData>
  <conditionalFormatting sqref="J1:J1048576">
    <cfRule type="containsText" dxfId="8" priority="10" operator="containsText" text="Low Sales">
      <formula>NOT(ISERROR(SEARCH("Low Sales",J1)))</formula>
    </cfRule>
    <cfRule type="containsText" dxfId="7" priority="11" operator="containsText" text="Low Sales">
      <formula>NOT(ISERROR(SEARCH("Low Sales",J1)))</formula>
    </cfRule>
    <cfRule type="containsText" dxfId="6" priority="12" operator="containsText" text="High Sales">
      <formula>NOT(ISERROR(SEARCH("High Sales",J1)))</formula>
    </cfRule>
    <cfRule type="containsText" dxfId="5" priority="13" operator="containsText" text="High Sales">
      <formula>NOT(ISERROR(SEARCH("High Sales",J1)))</formula>
    </cfRule>
  </conditionalFormatting>
  <conditionalFormatting sqref="J2">
    <cfRule type="containsText" dxfId="4" priority="14" operator="containsText" text="High Sales">
      <formula>NOT(ISERROR(SEARCH("High Sales",J2)))</formula>
    </cfRule>
  </conditionalFormatting>
  <conditionalFormatting sqref="K1:L1048576">
    <cfRule type="containsText" dxfId="3" priority="6" operator="containsText" text="true">
      <formula>NOT(ISERROR(SEARCH("true",K1)))</formula>
    </cfRule>
    <cfRule type="containsText" dxfId="2" priority="7" operator="containsText" text="true">
      <formula>NOT(ISERROR(SEARCH("true",K1)))</formula>
    </cfRule>
  </conditionalFormatting>
  <conditionalFormatting sqref="M1:M1048576">
    <cfRule type="containsText" dxfId="1" priority="1" operator="containsText" text="false">
      <formula>NOT(ISERROR(SEARCH("false",M1)))</formula>
    </cfRule>
    <cfRule type="containsText" dxfId="0" priority="2" operator="containsText" text="false">
      <formula>NOT(ISERROR(SEARCH("false",M1)))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08A7-863C-4410-8857-21B472DC9467}">
  <sheetPr>
    <tabColor theme="3" tint="0.249977111117893"/>
  </sheetPr>
  <dimension ref="A1:C12"/>
  <sheetViews>
    <sheetView workbookViewId="0">
      <selection activeCell="C5" sqref="C5"/>
    </sheetView>
  </sheetViews>
  <sheetFormatPr defaultRowHeight="14.4" x14ac:dyDescent="0.3"/>
  <cols>
    <col min="1" max="1" width="5.21875" customWidth="1"/>
    <col min="2" max="2" width="66.33203125" customWidth="1"/>
    <col min="3" max="3" width="33.44140625" customWidth="1"/>
    <col min="4" max="4" width="27.109375" customWidth="1"/>
    <col min="5" max="5" width="8.88671875" customWidth="1"/>
    <col min="6" max="6" width="6" customWidth="1"/>
  </cols>
  <sheetData>
    <row r="1" spans="1:3" ht="14.4" customHeight="1" x14ac:dyDescent="0.3">
      <c r="A1" s="48" t="s">
        <v>129</v>
      </c>
      <c r="B1" s="49"/>
      <c r="C1" s="50"/>
    </row>
    <row r="2" spans="1:3" ht="14.4" customHeight="1" x14ac:dyDescent="0.3">
      <c r="A2" s="51"/>
      <c r="B2" s="52"/>
      <c r="C2" s="53"/>
    </row>
    <row r="3" spans="1:3" ht="15" customHeight="1" thickBot="1" x14ac:dyDescent="0.35">
      <c r="A3" s="54"/>
      <c r="B3" s="55"/>
      <c r="C3" s="56"/>
    </row>
    <row r="4" spans="1:3" ht="20.399999999999999" thickBot="1" x14ac:dyDescent="0.45">
      <c r="A4" s="23" t="s">
        <v>0</v>
      </c>
      <c r="B4" s="23" t="s">
        <v>1</v>
      </c>
      <c r="C4" s="24" t="s">
        <v>130</v>
      </c>
    </row>
    <row r="5" spans="1:3" ht="19.8" x14ac:dyDescent="0.4">
      <c r="A5" s="38">
        <v>1</v>
      </c>
      <c r="B5" s="25" t="s">
        <v>2</v>
      </c>
      <c r="C5" s="27">
        <f>AVERAGE(Revenue_DB[Units Sold])</f>
        <v>26.14</v>
      </c>
    </row>
    <row r="6" spans="1:3" ht="19.8" x14ac:dyDescent="0.4">
      <c r="A6" s="39">
        <v>2</v>
      </c>
      <c r="B6" s="26" t="s">
        <v>3</v>
      </c>
      <c r="C6" s="28">
        <f>MEDIAN(Revenue_DB[Unit Price ($)])</f>
        <v>49.99</v>
      </c>
    </row>
    <row r="7" spans="1:3" ht="19.8" x14ac:dyDescent="0.4">
      <c r="A7" s="39">
        <v>3</v>
      </c>
      <c r="B7" s="26" t="s">
        <v>4</v>
      </c>
      <c r="C7" s="28">
        <f>_xlfn.MODE.SNGL(Revenue_DB[Units Sold])</f>
        <v>15</v>
      </c>
    </row>
    <row r="8" spans="1:3" ht="19.8" x14ac:dyDescent="0.4">
      <c r="A8" s="57">
        <v>4</v>
      </c>
      <c r="B8" s="59" t="s">
        <v>5</v>
      </c>
      <c r="C8" s="28">
        <f t="array" ref="C8:C12">_xlfn.MODE.MULT(Revenue_DB[Units Sold])</f>
        <v>15</v>
      </c>
    </row>
    <row r="9" spans="1:3" ht="19.8" x14ac:dyDescent="0.4">
      <c r="A9" s="57"/>
      <c r="B9" s="59"/>
      <c r="C9" s="29">
        <v>18</v>
      </c>
    </row>
    <row r="10" spans="1:3" ht="19.8" x14ac:dyDescent="0.4">
      <c r="A10" s="57"/>
      <c r="B10" s="59"/>
      <c r="C10" s="29">
        <v>39</v>
      </c>
    </row>
    <row r="11" spans="1:3" ht="19.8" x14ac:dyDescent="0.4">
      <c r="A11" s="57"/>
      <c r="B11" s="59"/>
      <c r="C11" s="29">
        <v>25</v>
      </c>
    </row>
    <row r="12" spans="1:3" ht="20.399999999999999" thickBot="1" x14ac:dyDescent="0.45">
      <c r="A12" s="58"/>
      <c r="B12" s="60"/>
      <c r="C12" s="30">
        <v>4</v>
      </c>
    </row>
  </sheetData>
  <mergeCells count="3">
    <mergeCell ref="A1:C3"/>
    <mergeCell ref="A8:A12"/>
    <mergeCell ref="B8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84DF-920D-4423-8F62-0316B4FB89EA}">
  <sheetPr>
    <tabColor theme="3" tint="0.249977111117893"/>
  </sheetPr>
  <dimension ref="A1:C13"/>
  <sheetViews>
    <sheetView topLeftCell="A2" workbookViewId="0">
      <selection activeCell="C5" sqref="C5"/>
    </sheetView>
  </sheetViews>
  <sheetFormatPr defaultRowHeight="14.4" x14ac:dyDescent="0.3"/>
  <cols>
    <col min="2" max="2" width="93.88671875" customWidth="1"/>
    <col min="3" max="3" width="55" customWidth="1"/>
    <col min="4" max="4" width="40" customWidth="1"/>
    <col min="5" max="5" width="8.88671875" customWidth="1"/>
    <col min="6" max="6" width="6" customWidth="1"/>
  </cols>
  <sheetData>
    <row r="1" spans="1:3" ht="14.4" customHeight="1" x14ac:dyDescent="0.3">
      <c r="A1" s="48" t="s">
        <v>131</v>
      </c>
      <c r="B1" s="49"/>
      <c r="C1" s="50"/>
    </row>
    <row r="2" spans="1:3" ht="14.4" customHeight="1" x14ac:dyDescent="0.3">
      <c r="A2" s="51"/>
      <c r="B2" s="52"/>
      <c r="C2" s="53"/>
    </row>
    <row r="3" spans="1:3" ht="15" customHeight="1" thickBot="1" x14ac:dyDescent="0.35">
      <c r="A3" s="54"/>
      <c r="B3" s="55"/>
      <c r="C3" s="56"/>
    </row>
    <row r="4" spans="1:3" ht="20.399999999999999" thickBot="1" x14ac:dyDescent="0.45">
      <c r="A4" s="19" t="s">
        <v>0</v>
      </c>
      <c r="B4" s="31" t="s">
        <v>1</v>
      </c>
      <c r="C4" s="18" t="s">
        <v>130</v>
      </c>
    </row>
    <row r="5" spans="1:3" ht="19.8" x14ac:dyDescent="0.4">
      <c r="A5" s="20">
        <v>1</v>
      </c>
      <c r="B5" s="32" t="s">
        <v>6</v>
      </c>
      <c r="C5" s="35">
        <f>SUM(Revenue_DB[Units Sold])</f>
        <v>1307</v>
      </c>
    </row>
    <row r="6" spans="1:3" ht="19.8" x14ac:dyDescent="0.4">
      <c r="A6" s="21">
        <v>2</v>
      </c>
      <c r="B6" s="33" t="s">
        <v>7</v>
      </c>
      <c r="C6" s="28">
        <f>SUMIF(Revenue_DB[Units Sold],"&gt;30",Revenue_DB[Total Revenue ($)])</f>
        <v>162653.47000000003</v>
      </c>
    </row>
    <row r="7" spans="1:3" ht="19.8" x14ac:dyDescent="0.4">
      <c r="A7" s="21">
        <v>3</v>
      </c>
      <c r="B7" s="33" t="s">
        <v>8</v>
      </c>
      <c r="C7" s="28">
        <f>MIN(Revenue_DB[Unit Price ($)])</f>
        <v>9.99</v>
      </c>
    </row>
    <row r="8" spans="1:3" ht="19.8" x14ac:dyDescent="0.4">
      <c r="A8" s="21">
        <v>4</v>
      </c>
      <c r="B8" s="33" t="s">
        <v>9</v>
      </c>
      <c r="C8" s="28">
        <f>MAX(Revenue_DB[Unit Price ($)])</f>
        <v>1299.99</v>
      </c>
    </row>
    <row r="9" spans="1:3" ht="19.8" x14ac:dyDescent="0.4">
      <c r="A9" s="21">
        <v>5</v>
      </c>
      <c r="B9" s="33" t="s">
        <v>10</v>
      </c>
      <c r="C9" s="28">
        <f>COUNT(Revenue_DB[Units Sold])</f>
        <v>50</v>
      </c>
    </row>
    <row r="10" spans="1:3" ht="19.8" x14ac:dyDescent="0.4">
      <c r="A10" s="21">
        <v>6</v>
      </c>
      <c r="B10" s="33" t="s">
        <v>11</v>
      </c>
      <c r="C10" s="28">
        <f>COUNTBLANK(Revenue_DB[Product])</f>
        <v>0</v>
      </c>
    </row>
    <row r="11" spans="1:3" ht="19.8" x14ac:dyDescent="0.4">
      <c r="A11" s="21">
        <v>7</v>
      </c>
      <c r="B11" s="33" t="s">
        <v>12</v>
      </c>
      <c r="C11" s="28">
        <f>COUNTIF(Revenue_DB[Discount (%)],"&gt;=10")</f>
        <v>31</v>
      </c>
    </row>
    <row r="12" spans="1:3" ht="19.8" x14ac:dyDescent="0.4">
      <c r="A12" s="21">
        <v>8</v>
      </c>
      <c r="B12" s="33" t="s">
        <v>13</v>
      </c>
      <c r="C12" s="28">
        <f>AVERAGEIF(Revenue_DB[Discount (%)],"&gt;10",Revenue_DB[Total Revenue ($)])</f>
        <v>5603.5933333333342</v>
      </c>
    </row>
    <row r="13" spans="1:3" ht="20.399999999999999" thickBot="1" x14ac:dyDescent="0.45">
      <c r="A13" s="22">
        <v>9</v>
      </c>
      <c r="B13" s="34" t="s">
        <v>14</v>
      </c>
      <c r="C13" s="36">
        <f>AVERAGEIFS(Revenue_DB[Total Revenue ($)],Revenue_DB[Category],"Electronics",Revenue_DB[Discount (%)],"&gt;=10")</f>
        <v>11602.894615384617</v>
      </c>
    </row>
  </sheetData>
  <mergeCells count="1">
    <mergeCell ref="A1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7917-E5F0-4AA0-82FC-81BA1B194170}">
  <sheetPr>
    <tabColor theme="3" tint="0.249977111117893"/>
  </sheetPr>
  <dimension ref="A1:C8"/>
  <sheetViews>
    <sheetView topLeftCell="B1" workbookViewId="0">
      <selection activeCell="C5" sqref="C5"/>
    </sheetView>
  </sheetViews>
  <sheetFormatPr defaultRowHeight="14.4" x14ac:dyDescent="0.3"/>
  <cols>
    <col min="1" max="1" width="7.5546875" customWidth="1"/>
    <col min="2" max="2" width="96.33203125" customWidth="1"/>
    <col min="3" max="3" width="77.6640625" customWidth="1"/>
    <col min="4" max="4" width="18.44140625" customWidth="1"/>
    <col min="5" max="5" width="8.88671875" customWidth="1"/>
    <col min="6" max="6" width="6" customWidth="1"/>
  </cols>
  <sheetData>
    <row r="1" spans="1:3" ht="14.4" customHeight="1" x14ac:dyDescent="0.3">
      <c r="A1" s="48" t="s">
        <v>132</v>
      </c>
      <c r="B1" s="49"/>
      <c r="C1" s="50"/>
    </row>
    <row r="2" spans="1:3" ht="14.4" customHeight="1" x14ac:dyDescent="0.3">
      <c r="A2" s="51"/>
      <c r="B2" s="52"/>
      <c r="C2" s="53"/>
    </row>
    <row r="3" spans="1:3" ht="14.4" customHeight="1" thickBot="1" x14ac:dyDescent="0.35">
      <c r="A3" s="54"/>
      <c r="B3" s="55"/>
      <c r="C3" s="56"/>
    </row>
    <row r="4" spans="1:3" ht="20.399999999999999" thickBot="1" x14ac:dyDescent="0.45">
      <c r="A4" s="19" t="s">
        <v>0</v>
      </c>
      <c r="B4" s="31" t="s">
        <v>1</v>
      </c>
      <c r="C4" s="18" t="s">
        <v>161</v>
      </c>
    </row>
    <row r="5" spans="1:3" ht="20.399999999999999" thickBot="1" x14ac:dyDescent="0.45">
      <c r="A5" s="40">
        <v>1</v>
      </c>
      <c r="B5" s="42" t="s">
        <v>15</v>
      </c>
      <c r="C5" s="45" t="s">
        <v>133</v>
      </c>
    </row>
    <row r="6" spans="1:3" ht="20.399999999999999" thickBot="1" x14ac:dyDescent="0.45">
      <c r="A6" s="20">
        <v>2</v>
      </c>
      <c r="B6" s="33" t="s">
        <v>16</v>
      </c>
      <c r="C6" s="46" t="s">
        <v>135</v>
      </c>
    </row>
    <row r="7" spans="1:3" ht="20.399999999999999" thickBot="1" x14ac:dyDescent="0.45">
      <c r="A7" s="20">
        <v>3</v>
      </c>
      <c r="B7" s="33" t="s">
        <v>17</v>
      </c>
      <c r="C7" s="46" t="s">
        <v>138</v>
      </c>
    </row>
    <row r="8" spans="1:3" ht="20.399999999999999" thickBot="1" x14ac:dyDescent="0.45">
      <c r="A8" s="44">
        <v>4</v>
      </c>
      <c r="B8" s="34" t="s">
        <v>18</v>
      </c>
      <c r="C8" s="47" t="s">
        <v>140</v>
      </c>
    </row>
  </sheetData>
  <mergeCells count="1">
    <mergeCell ref="A1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2626-8F57-46BD-B8DE-BBCCCD26C68F}">
  <sheetPr>
    <tabColor theme="3" tint="0.249977111117893"/>
  </sheetPr>
  <dimension ref="A1:C11"/>
  <sheetViews>
    <sheetView workbookViewId="0">
      <selection activeCell="C5" sqref="C5"/>
    </sheetView>
  </sheetViews>
  <sheetFormatPr defaultRowHeight="14.4" x14ac:dyDescent="0.3"/>
  <cols>
    <col min="1" max="1" width="8.6640625" customWidth="1"/>
    <col min="2" max="2" width="61.88671875" customWidth="1"/>
    <col min="3" max="3" width="66.21875" customWidth="1"/>
  </cols>
  <sheetData>
    <row r="1" spans="1:3" ht="14.4" customHeight="1" x14ac:dyDescent="0.3">
      <c r="A1" s="48" t="s">
        <v>141</v>
      </c>
      <c r="B1" s="49"/>
      <c r="C1" s="50"/>
    </row>
    <row r="2" spans="1:3" ht="14.4" customHeight="1" x14ac:dyDescent="0.3">
      <c r="A2" s="51"/>
      <c r="B2" s="52"/>
      <c r="C2" s="53"/>
    </row>
    <row r="3" spans="1:3" ht="15" customHeight="1" thickBot="1" x14ac:dyDescent="0.35">
      <c r="A3" s="54"/>
      <c r="B3" s="55"/>
      <c r="C3" s="56"/>
    </row>
    <row r="4" spans="1:3" ht="20.399999999999999" thickBot="1" x14ac:dyDescent="0.45">
      <c r="A4" s="19" t="s">
        <v>0</v>
      </c>
      <c r="B4" s="31" t="s">
        <v>1</v>
      </c>
      <c r="C4" s="18" t="s">
        <v>161</v>
      </c>
    </row>
    <row r="5" spans="1:3" ht="20.399999999999999" thickBot="1" x14ac:dyDescent="0.45">
      <c r="A5" s="40">
        <v>1</v>
      </c>
      <c r="B5" s="32" t="s">
        <v>19</v>
      </c>
      <c r="C5" s="45" t="s">
        <v>154</v>
      </c>
    </row>
    <row r="6" spans="1:3" ht="20.399999999999999" thickBot="1" x14ac:dyDescent="0.45">
      <c r="A6" s="40">
        <v>2</v>
      </c>
      <c r="B6" s="33" t="s">
        <v>20</v>
      </c>
      <c r="C6" s="46" t="s">
        <v>155</v>
      </c>
    </row>
    <row r="7" spans="1:3" ht="20.399999999999999" thickBot="1" x14ac:dyDescent="0.45">
      <c r="A7" s="40">
        <v>3</v>
      </c>
      <c r="B7" s="41" t="s">
        <v>21</v>
      </c>
      <c r="C7" s="46" t="s">
        <v>156</v>
      </c>
    </row>
    <row r="8" spans="1:3" ht="20.399999999999999" thickBot="1" x14ac:dyDescent="0.45">
      <c r="A8" s="40">
        <v>4</v>
      </c>
      <c r="B8" s="33" t="s">
        <v>22</v>
      </c>
      <c r="C8" s="46" t="s">
        <v>157</v>
      </c>
    </row>
    <row r="9" spans="1:3" ht="20.399999999999999" thickBot="1" x14ac:dyDescent="0.45">
      <c r="A9" s="40">
        <v>5</v>
      </c>
      <c r="B9" s="33" t="s">
        <v>23</v>
      </c>
      <c r="C9" s="46" t="s">
        <v>158</v>
      </c>
    </row>
    <row r="10" spans="1:3" ht="20.399999999999999" thickBot="1" x14ac:dyDescent="0.45">
      <c r="A10" s="40">
        <v>6</v>
      </c>
      <c r="B10" s="33" t="s">
        <v>24</v>
      </c>
      <c r="C10" s="46" t="s">
        <v>159</v>
      </c>
    </row>
    <row r="11" spans="1:3" ht="20.399999999999999" thickBot="1" x14ac:dyDescent="0.45">
      <c r="A11" s="43">
        <v>7</v>
      </c>
      <c r="B11" s="34" t="s">
        <v>25</v>
      </c>
      <c r="C11" s="47" t="s">
        <v>160</v>
      </c>
    </row>
  </sheetData>
  <mergeCells count="1">
    <mergeCell ref="A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Order_Revenue_DB</vt:lpstr>
      <vt:lpstr>CS_Statistical</vt:lpstr>
      <vt:lpstr>CS_Mathematical_Aggregate</vt:lpstr>
      <vt:lpstr>CS_Logical</vt:lpstr>
      <vt:lpstr>CS_Text_Functions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2026-10-28T12:39:33Z</dcterms:created>
  <dcterms:modified xsi:type="dcterms:W3CDTF">2026-10-28T17:22:27Z</dcterms:modified>
</cp:coreProperties>
</file>