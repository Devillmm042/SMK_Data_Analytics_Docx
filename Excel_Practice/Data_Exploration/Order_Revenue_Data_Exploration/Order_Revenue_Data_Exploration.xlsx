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Entri_DA_Documents\Excel_Practice\Data_Exploration\Order_Revenue_Data_Exploration\"/>
    </mc:Choice>
  </mc:AlternateContent>
  <xr:revisionPtr revIDLastSave="0" documentId="13_ncr:1_{8905C1CA-E6D9-48B2-8701-DCDD26A47E09}" xr6:coauthVersionLast="47" xr6:coauthVersionMax="47" xr10:uidLastSave="{00000000-0000-0000-0000-000000000000}"/>
  <bookViews>
    <workbookView xWindow="-108" yWindow="-108" windowWidth="23256" windowHeight="12456" activeTab="3" xr2:uid="{D6AD5B38-86C7-49E6-9824-04F0B7C3AEA2}"/>
  </bookViews>
  <sheets>
    <sheet name="Order_Revenue_DB" sheetId="1" r:id="rId1"/>
    <sheet name="Statistical" sheetId="2" r:id="rId2"/>
    <sheet name="Mathematical_Aggregate" sheetId="3" r:id="rId3"/>
    <sheet name="Logical" sheetId="4" r:id="rId4"/>
    <sheet name="Text_Fun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S3" i="1"/>
  <c r="T3" i="1" s="1"/>
  <c r="S2" i="1"/>
  <c r="R3" i="1"/>
  <c r="U3" i="1" s="1"/>
  <c r="R2" i="1"/>
  <c r="Q2" i="1"/>
  <c r="P2" i="1"/>
  <c r="O2" i="1"/>
  <c r="J2" i="1"/>
  <c r="K2" i="1"/>
  <c r="L2" i="1" s="1"/>
  <c r="M2" i="1"/>
  <c r="N2" i="1"/>
  <c r="E6" i="2"/>
  <c r="E7" i="2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K51" i="1" l="1"/>
  <c r="L51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E20" i="3"/>
  <c r="E19" i="3"/>
  <c r="E18" i="3"/>
  <c r="E17" i="3"/>
  <c r="E16" i="3"/>
  <c r="E15" i="3"/>
  <c r="E14" i="3"/>
  <c r="E13" i="3"/>
  <c r="E12" i="3"/>
  <c r="E9" i="2" a="1"/>
  <c r="E10" i="2" s="1"/>
  <c r="E8" i="2"/>
  <c r="E12" i="2" l="1"/>
  <c r="E11" i="2"/>
  <c r="E9" i="2"/>
</calcChain>
</file>

<file path=xl/sharedStrings.xml><?xml version="1.0" encoding="utf-8"?>
<sst xmlns="http://schemas.openxmlformats.org/spreadsheetml/2006/main" count="350" uniqueCount="188">
  <si>
    <t>Order ID</t>
  </si>
  <si>
    <t>Date</t>
  </si>
  <si>
    <t>Region</t>
  </si>
  <si>
    <t>Product</t>
  </si>
  <si>
    <t>Category</t>
  </si>
  <si>
    <t>Units Sold</t>
  </si>
  <si>
    <t>Unit Price ($)</t>
  </si>
  <si>
    <t>Discount (%)</t>
  </si>
  <si>
    <t>Total Revenue ($)</t>
  </si>
  <si>
    <t>ORD-1001</t>
  </si>
  <si>
    <t>11-23-2024</t>
  </si>
  <si>
    <t>North</t>
  </si>
  <si>
    <t>Notebook Set</t>
  </si>
  <si>
    <t>Stationery</t>
  </si>
  <si>
    <t>ORD-1002</t>
  </si>
  <si>
    <t>Central</t>
  </si>
  <si>
    <t>Wireless Mouse</t>
  </si>
  <si>
    <t>Electronics</t>
  </si>
  <si>
    <t>ORD-1003</t>
  </si>
  <si>
    <t>01-17-2024</t>
  </si>
  <si>
    <t>Desk Lamp</t>
  </si>
  <si>
    <t>Furniture</t>
  </si>
  <si>
    <t>ORD-1005</t>
  </si>
  <si>
    <t>West</t>
  </si>
  <si>
    <t>Marker Set</t>
  </si>
  <si>
    <t>ORD-1006</t>
  </si>
  <si>
    <t>03-22-2024</t>
  </si>
  <si>
    <t>East</t>
  </si>
  <si>
    <t>ORD-1007</t>
  </si>
  <si>
    <t>06-21-2024</t>
  </si>
  <si>
    <t>Monitor 27"</t>
  </si>
  <si>
    <t>ORD-1008</t>
  </si>
  <si>
    <t>06-25-2024</t>
  </si>
  <si>
    <t>Laptop Pro</t>
  </si>
  <si>
    <t>ORD-1009</t>
  </si>
  <si>
    <t>11-17-2024</t>
  </si>
  <si>
    <t>ORD-1011</t>
  </si>
  <si>
    <t>01-24-2024</t>
  </si>
  <si>
    <t>ORD-1012</t>
  </si>
  <si>
    <t>07-13-2024</t>
  </si>
  <si>
    <t>Pen Pack</t>
  </si>
  <si>
    <t>ORD-1013</t>
  </si>
  <si>
    <t>06-30-2024</t>
  </si>
  <si>
    <t>ORD-1014</t>
  </si>
  <si>
    <t>09-30-2024</t>
  </si>
  <si>
    <t>South</t>
  </si>
  <si>
    <t>Keyboard</t>
  </si>
  <si>
    <t>ORD-1015</t>
  </si>
  <si>
    <t>ORD-1016</t>
  </si>
  <si>
    <t>04-27-2024</t>
  </si>
  <si>
    <t>ORD-1017</t>
  </si>
  <si>
    <t>04-18-2024</t>
  </si>
  <si>
    <t>ORD-1018</t>
  </si>
  <si>
    <t>07-21-2024</t>
  </si>
  <si>
    <t>ORD-1019</t>
  </si>
  <si>
    <t>10-14-2024</t>
  </si>
  <si>
    <t>ORD-1020</t>
  </si>
  <si>
    <t>07-23-2024</t>
  </si>
  <si>
    <t>Office Chair</t>
  </si>
  <si>
    <t>02-16-2024</t>
  </si>
  <si>
    <t>ORD-1022</t>
  </si>
  <si>
    <t>12-14-2024</t>
  </si>
  <si>
    <t>ORD-1024</t>
  </si>
  <si>
    <t>ORD-1025</t>
  </si>
  <si>
    <t>02-27-2024</t>
  </si>
  <si>
    <t>ORD-1026</t>
  </si>
  <si>
    <t>05-14-2024</t>
  </si>
  <si>
    <t>Filing Cabinet</t>
  </si>
  <si>
    <t>ORD-1027</t>
  </si>
  <si>
    <t>ORD-1028</t>
  </si>
  <si>
    <t>03-23-2024</t>
  </si>
  <si>
    <t>ORD-1029</t>
  </si>
  <si>
    <t>01-30-2024</t>
  </si>
  <si>
    <t>ORD-1031</t>
  </si>
  <si>
    <t>ORD-1032</t>
  </si>
  <si>
    <t>ORD-1033</t>
  </si>
  <si>
    <t>ORD-1034</t>
  </si>
  <si>
    <t>ORD-1035</t>
  </si>
  <si>
    <t>ORD-1036</t>
  </si>
  <si>
    <t>10-28-2024</t>
  </si>
  <si>
    <t>ORD-1037</t>
  </si>
  <si>
    <t>ORD-1038</t>
  </si>
  <si>
    <t>ORD-1039</t>
  </si>
  <si>
    <t>10-19-2024</t>
  </si>
  <si>
    <t>ORD-1040</t>
  </si>
  <si>
    <t>ORD-1041</t>
  </si>
  <si>
    <t>07-29-2024</t>
  </si>
  <si>
    <t>ORD-1042</t>
  </si>
  <si>
    <t>06-22-2024</t>
  </si>
  <si>
    <t>ORD-1043</t>
  </si>
  <si>
    <t>08-17-2024</t>
  </si>
  <si>
    <t>ORD-1044</t>
  </si>
  <si>
    <t>ORD-1045</t>
  </si>
  <si>
    <t>11-29-2024</t>
  </si>
  <si>
    <t>ORD-1046</t>
  </si>
  <si>
    <t>03-26-2024</t>
  </si>
  <si>
    <t>ORD-1047</t>
  </si>
  <si>
    <t>01-31-2024</t>
  </si>
  <si>
    <t>ORD-1048</t>
  </si>
  <si>
    <t>08-20-2024</t>
  </si>
  <si>
    <t>ORD-1049</t>
  </si>
  <si>
    <t>03-20-2024</t>
  </si>
  <si>
    <t>ORD-1050</t>
  </si>
  <si>
    <t>Excel Formulas &amp; Functions</t>
  </si>
  <si>
    <t>Statistical Functions</t>
  </si>
  <si>
    <t>Functions</t>
  </si>
  <si>
    <t>Description</t>
  </si>
  <si>
    <t>Formula</t>
  </si>
  <si>
    <t>Data Output</t>
  </si>
  <si>
    <t>Mean (Average)</t>
  </si>
  <si>
    <t>Median</t>
  </si>
  <si>
    <t>Mode (Single)</t>
  </si>
  <si>
    <t>Mode (Multiple)</t>
  </si>
  <si>
    <t>Middle value in the sorted dataset</t>
  </si>
  <si>
    <t>Most frequently occurring value</t>
  </si>
  <si>
    <t>Sum of All Values / Total Number of Values</t>
  </si>
  <si>
    <t>All modes in a dataset (if more than one mode)</t>
  </si>
  <si>
    <t>AVERAGE(number1,[number2],…)</t>
  </si>
  <si>
    <t>MEDIAN(number1,[number2],…)</t>
  </si>
  <si>
    <t>MODE.SNGL(number1,[number2],…)</t>
  </si>
  <si>
    <t>MODE.MULT(number1,[number2],…)</t>
  </si>
  <si>
    <t>Data Output [Unit Price]</t>
  </si>
  <si>
    <t>Mathematical &amp; Aggregate Functions</t>
  </si>
  <si>
    <t>SUM</t>
  </si>
  <si>
    <t>SUMIF</t>
  </si>
  <si>
    <t>MIN</t>
  </si>
  <si>
    <t>MAX</t>
  </si>
  <si>
    <t>COUNT</t>
  </si>
  <si>
    <t>COUNTBLANK</t>
  </si>
  <si>
    <t>COUNTIF</t>
  </si>
  <si>
    <t>AVERAGEIF</t>
  </si>
  <si>
    <t>AVERAGEIFS</t>
  </si>
  <si>
    <t>Sum with condition</t>
  </si>
  <si>
    <t>Counts numbers</t>
  </si>
  <si>
    <t>Counts empty cells</t>
  </si>
  <si>
    <t>Count with condition</t>
  </si>
  <si>
    <t>Average with condition</t>
  </si>
  <si>
    <t>Average with multiple condition</t>
  </si>
  <si>
    <t>Sum numbers</t>
  </si>
  <si>
    <t>Finds Minimum</t>
  </si>
  <si>
    <t>Finds Maximum</t>
  </si>
  <si>
    <t>SUM(number1,[number2],…)</t>
  </si>
  <si>
    <t>SUMIF(range,criteria,[sum_range])</t>
  </si>
  <si>
    <t>MIN(number1,[number2],…)</t>
  </si>
  <si>
    <t>MAX(number1,[number2],…)</t>
  </si>
  <si>
    <t>COUNT(value1,[value2],…)</t>
  </si>
  <si>
    <t>COUNTBLANK(range)</t>
  </si>
  <si>
    <t>COUNTIF(range,criteria)</t>
  </si>
  <si>
    <t>AVERAGEIF(range,criteria,[average_range])</t>
  </si>
  <si>
    <t>AVERAGEIFS(average_range,criteria_range1,criteria1,[criteria_range2, criteria2],…)</t>
  </si>
  <si>
    <t>Data output [Total Revenue], [Region], [Category] &amp; [Order ID]</t>
  </si>
  <si>
    <t>Logical Functions</t>
  </si>
  <si>
    <t>IF</t>
  </si>
  <si>
    <t>AND</t>
  </si>
  <si>
    <t>OR</t>
  </si>
  <si>
    <t>NOT</t>
  </si>
  <si>
    <t>Conditional test</t>
  </si>
  <si>
    <t>Returns TRUE if all conditions are TRUE</t>
  </si>
  <si>
    <t>Returns TRUE if any condition is TRUE</t>
  </si>
  <si>
    <t>Reverses a logical value (TRUE becomes FALSE)</t>
  </si>
  <si>
    <t>IF(logical_test,[value_if_true],[value_if_false])</t>
  </si>
  <si>
    <t>AND(logical1,[logical2],…)</t>
  </si>
  <si>
    <t>OR(logical1,[logical2],…)</t>
  </si>
  <si>
    <t>NOT(logical)</t>
  </si>
  <si>
    <t>IF(AND)</t>
  </si>
  <si>
    <t>Data Output view in the "Order_Revenue_DB" Sheet</t>
  </si>
  <si>
    <t>RIGHT</t>
  </si>
  <si>
    <t>LEFT</t>
  </si>
  <si>
    <t>MID</t>
  </si>
  <si>
    <t>UPPER</t>
  </si>
  <si>
    <t>LOWER</t>
  </si>
  <si>
    <t>PROPER</t>
  </si>
  <si>
    <t>LENGTH</t>
  </si>
  <si>
    <t>Text Functions</t>
  </si>
  <si>
    <t>Right characters</t>
  </si>
  <si>
    <t>Left characters</t>
  </si>
  <si>
    <t>Middle characters</t>
  </si>
  <si>
    <t>Convert to lowercase</t>
  </si>
  <si>
    <t>Capitalize first letters</t>
  </si>
  <si>
    <t>Length of text</t>
  </si>
  <si>
    <t>RIGHT(text,[num_chars])</t>
  </si>
  <si>
    <t>LEFT(text,[num_chars])</t>
  </si>
  <si>
    <t>MID(text,start_num,num_chars)</t>
  </si>
  <si>
    <t>Convert to UPPERCASE</t>
  </si>
  <si>
    <t>UPPER(text)</t>
  </si>
  <si>
    <t>LOWER(text)</t>
  </si>
  <si>
    <t>PROPER(text)</t>
  </si>
  <si>
    <t>LEN(text)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</si>
</sst>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u/>
      <sz val="22"/>
      <color rgb="FF002060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rgb="FF7030A0"/>
      <name val="Calibri"/>
      <family val="2"/>
    </font>
    <font>
      <b/>
      <sz val="11"/>
      <color theme="9" tint="-0.499984740745262"/>
      <name val="Calibri"/>
      <family val="2"/>
    </font>
    <font>
      <b/>
      <sz val="10"/>
      <color theme="1"/>
      <name val="Arial"/>
      <family val="2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/>
      <top/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4" fontId="2" fillId="3" borderId="5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5" fillId="7" borderId="20" xfId="0" applyFont="1" applyFill="1" applyBorder="1" applyAlignment="1">
      <alignment horizontal="center" wrapText="1"/>
    </xf>
    <xf numFmtId="0" fontId="5" fillId="7" borderId="18" xfId="0" applyFont="1" applyFill="1" applyBorder="1" applyAlignment="1">
      <alignment horizontal="center" wrapText="1"/>
    </xf>
    <xf numFmtId="0" fontId="5" fillId="7" borderId="21" xfId="0" applyFont="1" applyFill="1" applyBorder="1" applyAlignment="1">
      <alignment horizontal="center"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6" fillId="0" borderId="33" xfId="0" applyFont="1" applyBorder="1" applyAlignment="1">
      <alignment wrapText="1"/>
    </xf>
    <xf numFmtId="0" fontId="6" fillId="0" borderId="34" xfId="0" applyFont="1" applyBorder="1" applyAlignment="1">
      <alignment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6" fillId="0" borderId="28" xfId="0" applyFont="1" applyBorder="1" applyAlignment="1">
      <alignment wrapText="1"/>
    </xf>
    <xf numFmtId="0" fontId="6" fillId="0" borderId="29" xfId="0" applyFont="1" applyBorder="1" applyAlignment="1">
      <alignment wrapText="1"/>
    </xf>
    <xf numFmtId="0" fontId="6" fillId="0" borderId="36" xfId="0" applyFont="1" applyBorder="1" applyAlignment="1">
      <alignment vertical="center"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8" fillId="0" borderId="36" xfId="0" applyFont="1" applyBorder="1" applyAlignment="1">
      <alignment horizontal="center" wrapText="1"/>
    </xf>
    <xf numFmtId="0" fontId="5" fillId="7" borderId="39" xfId="0" applyFont="1" applyFill="1" applyBorder="1" applyAlignment="1">
      <alignment horizontal="center" wrapText="1"/>
    </xf>
    <xf numFmtId="0" fontId="6" fillId="0" borderId="36" xfId="0" applyFont="1" applyBorder="1" applyAlignment="1">
      <alignment wrapText="1"/>
    </xf>
    <xf numFmtId="0" fontId="6" fillId="0" borderId="41" xfId="0" applyFont="1" applyBorder="1" applyAlignment="1">
      <alignment wrapText="1"/>
    </xf>
    <xf numFmtId="0" fontId="5" fillId="7" borderId="19" xfId="0" applyFont="1" applyFill="1" applyBorder="1" applyAlignment="1">
      <alignment horizontal="center" wrapText="1"/>
    </xf>
    <xf numFmtId="0" fontId="8" fillId="0" borderId="41" xfId="0" applyFont="1" applyBorder="1" applyAlignment="1">
      <alignment horizontal="center" wrapText="1"/>
    </xf>
    <xf numFmtId="0" fontId="7" fillId="0" borderId="29" xfId="0" applyFont="1" applyBorder="1"/>
    <xf numFmtId="0" fontId="7" fillId="0" borderId="36" xfId="0" applyFont="1" applyBorder="1"/>
    <xf numFmtId="0" fontId="2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wrapText="1"/>
    </xf>
    <xf numFmtId="0" fontId="6" fillId="0" borderId="29" xfId="0" applyFont="1" applyBorder="1" applyAlignment="1">
      <alignment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wrapText="1"/>
    </xf>
    <xf numFmtId="0" fontId="4" fillId="6" borderId="23" xfId="0" applyFont="1" applyFill="1" applyBorder="1" applyAlignment="1">
      <alignment horizontal="center" wrapText="1"/>
    </xf>
    <xf numFmtId="0" fontId="4" fillId="6" borderId="24" xfId="0" applyFont="1" applyFill="1" applyBorder="1" applyAlignment="1">
      <alignment horizont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4" fillId="6" borderId="40" xfId="0" applyFont="1" applyFill="1" applyBorder="1" applyAlignment="1">
      <alignment horizontal="center" wrapText="1"/>
    </xf>
    <xf numFmtId="0" fontId="4" fillId="6" borderId="38" xfId="0" applyFont="1" applyFill="1" applyBorder="1" applyAlignment="1">
      <alignment horizontal="center" wrapText="1"/>
    </xf>
    <xf numFmtId="0" fontId="4" fillId="6" borderId="37" xfId="0" applyFont="1" applyFill="1" applyBorder="1" applyAlignment="1">
      <alignment horizont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/>
        <color theme="9" tint="-0.499984740745262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7ACC5-326A-4C47-A496-9D7116D2FC7D}" name="Revenue_DB" displayName="Revenue_DB" ref="A1:U51" totalsRowShown="0" headerRowDxfId="39" dataDxfId="37" headerRowBorderDxfId="38" tableBorderDxfId="36" totalsRowBorderDxfId="35">
  <autoFilter ref="A1:U51" xr:uid="{6B191A17-31FA-478D-9ECC-E5EA86FE79E0}"/>
  <tableColumns count="21">
    <tableColumn id="1" xr3:uid="{73BA7D5D-1B06-469B-912A-5D8690DADB9E}" name="Order ID" dataDxfId="34"/>
    <tableColumn id="2" xr3:uid="{7F7E4308-B4DD-4B82-A8AF-CD8527A0B7C3}" name="Date"/>
    <tableColumn id="3" xr3:uid="{4FB162DD-3C36-49FD-95D5-FA5CA8963206}" name="Region" dataDxfId="33"/>
    <tableColumn id="4" xr3:uid="{C751F4B0-9C46-4888-A456-912AF2E18866}" name="Product" dataDxfId="32"/>
    <tableColumn id="5" xr3:uid="{440DD085-1062-492C-BC25-9F7CC59D51DB}" name="Category" dataDxfId="31"/>
    <tableColumn id="6" xr3:uid="{B0B6CAA0-AC10-4878-B203-387D4AF67794}" name="Units Sold" dataDxfId="30"/>
    <tableColumn id="7" xr3:uid="{FFB36AF3-F5E4-44E5-B76E-2D69BFCD7844}" name="Unit Price ($)" dataDxfId="29"/>
    <tableColumn id="8" xr3:uid="{3494360F-DB8D-4D76-B348-0897DFBDCA1A}" name="Discount (%)" dataDxfId="28"/>
    <tableColumn id="9" xr3:uid="{C4CECE28-BEA3-4196-BC8F-F8D93F092D5B}" name="Total Revenue ($)" dataDxfId="27"/>
    <tableColumn id="10" xr3:uid="{933BA673-EA64-40D4-BF8F-2F3EE509FB9C}" name="IF" dataDxfId="26">
      <calculatedColumnFormula>IF(Revenue_DB[[#This Row],[Units Sold]]&gt;30,"High Sales","Low Sales")</calculatedColumnFormula>
    </tableColumn>
    <tableColumn id="11" xr3:uid="{F0EF9ABA-1767-45F1-BBFF-6EE8A68948FF}" name="AND" dataDxfId="25">
      <calculatedColumnFormula>AND(Revenue_DB[[#This Row],[Units Sold]]&gt;30,Revenue_DB[[#This Row],[Total Revenue ($)]]&gt;=1000)</calculatedColumnFormula>
    </tableColumn>
    <tableColumn id="15" xr3:uid="{2962A1AC-967C-48EB-929F-F9F875FEDDEB}" name="IF(AND)" dataDxfId="24">
      <calculatedColumnFormula>IF(Revenue_DB[[#This Row],[AND]],"Best Sales","Worst Sales")</calculatedColumnFormula>
    </tableColumn>
    <tableColumn id="12" xr3:uid="{6F06928D-9A4A-4F6A-B577-9B81874E6E32}" name="OR" dataDxfId="23">
      <calculatedColumnFormula>OR(Revenue_DB[[#This Row],[Units Sold]]&gt;30,Revenue_DB[[#This Row],[Total Revenue ($)]]&gt;=1000)</calculatedColumnFormula>
    </tableColumn>
    <tableColumn id="13" xr3:uid="{69908029-88FD-4058-8B47-2831DA5E6E67}" name="NOT" dataDxfId="22">
      <calculatedColumnFormula>NOT(Revenue_DB[[#This Row],[Discount (%)]]&gt;10)</calculatedColumnFormula>
    </tableColumn>
    <tableColumn id="14" xr3:uid="{E3C03757-8D01-4E2A-946A-40754D4D0899}" name="RIGHT" dataDxfId="21">
      <calculatedColumnFormula>RIGHT(Revenue_DB[[#This Row],[Order ID]],4)</calculatedColumnFormula>
    </tableColumn>
    <tableColumn id="16" xr3:uid="{0AFC7DD0-7C6B-4680-9CE2-5B14D2C9295C}" name="LEFT" dataDxfId="20">
      <calculatedColumnFormula>LEFT(Revenue_DB[[#This Row],[Order ID]],3)</calculatedColumnFormula>
    </tableColumn>
    <tableColumn id="17" xr3:uid="{68369B31-310B-4EEF-A363-DA50DD51AD81}" name="MID" dataDxfId="19">
      <calculatedColumnFormula>MID(Revenue_DB[[#This Row],[Order ID]],1,4)</calculatedColumnFormula>
    </tableColumn>
    <tableColumn id="18" xr3:uid="{79656801-DC95-45FD-949C-3F1A06F448B4}" name="UPPER" dataDxfId="18">
      <calculatedColumnFormula>UPPER(Revenue_DB[[#This Row],[Category]])</calculatedColumnFormula>
    </tableColumn>
    <tableColumn id="19" xr3:uid="{A17B1F9C-B237-4E7E-ABA9-C3244A9855DC}" name="LOWER" dataDxfId="17">
      <calculatedColumnFormula>LOWER(Revenue_DB[[#This Row],[Product]])</calculatedColumnFormula>
    </tableColumn>
    <tableColumn id="20" xr3:uid="{0685B140-A312-497B-8AB1-CCF3FA5467B7}" name="PROPER" dataDxfId="16">
      <calculatedColumnFormula>PROPER(Revenue_DB[[#This Row],[LOWER]])</calculatedColumnFormula>
    </tableColumn>
    <tableColumn id="21" xr3:uid="{9373A166-F401-4500-B28D-2CE81C3CC0BD}" name="LENGTH" dataDxfId="15">
      <calculatedColumnFormula>LEN(Revenue_DB[[#This Row],[UPPER]])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72C3-1E0D-419F-B389-48790E07BF2B}">
  <sheetPr>
    <tabColor theme="3" tint="0.249977111117893"/>
  </sheetPr>
  <dimension ref="A1:U51"/>
  <sheetViews>
    <sheetView workbookViewId="0">
      <selection activeCell="O20" sqref="O20"/>
    </sheetView>
  </sheetViews>
  <sheetFormatPr defaultRowHeight="14.4" x14ac:dyDescent="0.3"/>
  <cols>
    <col min="1" max="1" width="16.6640625" style="4" customWidth="1"/>
    <col min="2" max="2" width="16.109375" style="4" customWidth="1"/>
    <col min="3" max="3" width="16.5546875" style="4" customWidth="1"/>
    <col min="4" max="4" width="15.44140625" style="4" customWidth="1"/>
    <col min="5" max="5" width="14.88671875" style="4" customWidth="1"/>
    <col min="6" max="6" width="16.21875" style="4" customWidth="1"/>
    <col min="7" max="7" width="18.77734375" style="4" customWidth="1"/>
    <col min="8" max="8" width="19.21875" style="4" customWidth="1"/>
    <col min="9" max="9" width="23.88671875" style="4" customWidth="1"/>
    <col min="10" max="21" width="18.77734375" style="4" customWidth="1"/>
    <col min="22" max="16384" width="8.88671875" style="4"/>
  </cols>
  <sheetData>
    <row r="1" spans="1:2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152</v>
      </c>
      <c r="K1" s="2" t="s">
        <v>153</v>
      </c>
      <c r="L1" s="2" t="s">
        <v>164</v>
      </c>
      <c r="M1" s="2" t="s">
        <v>154</v>
      </c>
      <c r="N1" s="56" t="s">
        <v>155</v>
      </c>
      <c r="O1" s="2" t="s">
        <v>166</v>
      </c>
      <c r="P1" s="2" t="s">
        <v>167</v>
      </c>
      <c r="Q1" s="2" t="s">
        <v>168</v>
      </c>
      <c r="R1" s="2" t="s">
        <v>169</v>
      </c>
      <c r="S1" s="2" t="s">
        <v>170</v>
      </c>
      <c r="T1" s="2" t="s">
        <v>171</v>
      </c>
      <c r="U1" s="2" t="s">
        <v>172</v>
      </c>
    </row>
    <row r="2" spans="1:21" ht="15" thickBot="1" x14ac:dyDescent="0.3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16</v>
      </c>
      <c r="G2" s="6">
        <v>19.989999999999998</v>
      </c>
      <c r="H2" s="6">
        <v>5</v>
      </c>
      <c r="I2" s="7">
        <v>303.85000000000002</v>
      </c>
      <c r="J2" s="52" t="str">
        <f>IF(Revenue_DB[[#This Row],[Units Sold]]&gt;30,"High Sales","Low Sales")</f>
        <v>Low Sales</v>
      </c>
      <c r="K2" s="51" t="b">
        <f>AND(Revenue_DB[[#This Row],[Units Sold]]&gt;30,Revenue_DB[[#This Row],[Total Revenue ($)]]&gt;=1000)</f>
        <v>0</v>
      </c>
      <c r="L2" s="51" t="str">
        <f>IF(Revenue_DB[[#This Row],[AND]],"Best Sales","Worst Sales")</f>
        <v>Worst Sales</v>
      </c>
      <c r="M2" s="51" t="b">
        <f>OR(Revenue_DB[[#This Row],[Units Sold]]&gt;30,Revenue_DB[[#This Row],[Total Revenue ($)]]&gt;=1000)</f>
        <v>0</v>
      </c>
      <c r="N2" s="51" t="b">
        <f>NOT(Revenue_DB[[#This Row],[Discount (%)]]&gt;10)</f>
        <v>1</v>
      </c>
      <c r="O2" s="51" t="str">
        <f>RIGHT(Revenue_DB[[#This Row],[Order ID]],4)</f>
        <v>1001</v>
      </c>
      <c r="P2" s="51" t="str">
        <f>LEFT(Revenue_DB[[#This Row],[Order ID]],3)</f>
        <v>ORD</v>
      </c>
      <c r="Q2" s="51" t="str">
        <f>MID(Revenue_DB[[#This Row],[Order ID]],1,4)</f>
        <v>ORD-</v>
      </c>
      <c r="R2" s="51" t="str">
        <f>UPPER(Revenue_DB[[#This Row],[Category]])</f>
        <v>STATIONERY</v>
      </c>
      <c r="S2" s="51" t="str">
        <f>LOWER(Revenue_DB[[#This Row],[Product]])</f>
        <v>notebook set</v>
      </c>
      <c r="T2" s="51" t="str">
        <f>PROPER(Revenue_DB[[#This Row],[LOWER]])</f>
        <v>Notebook Set</v>
      </c>
      <c r="U2" s="51">
        <f>LEN(Revenue_DB[[#This Row],[UPPER]])</f>
        <v>10</v>
      </c>
    </row>
    <row r="3" spans="1:21" ht="15" thickBot="1" x14ac:dyDescent="0.35">
      <c r="A3" s="8" t="s">
        <v>14</v>
      </c>
      <c r="B3" s="9">
        <v>45629</v>
      </c>
      <c r="C3" s="10" t="s">
        <v>15</v>
      </c>
      <c r="D3" s="10" t="s">
        <v>16</v>
      </c>
      <c r="E3" s="10" t="s">
        <v>17</v>
      </c>
      <c r="F3" s="10">
        <v>38</v>
      </c>
      <c r="G3" s="10">
        <v>29.99</v>
      </c>
      <c r="H3" s="10">
        <v>15</v>
      </c>
      <c r="I3" s="11">
        <v>968.68</v>
      </c>
      <c r="J3" s="53" t="str">
        <f>IF(Revenue_DB[[#This Row],[Units Sold]]&gt;30,"High Sales","Low Sales")</f>
        <v>High Sales</v>
      </c>
      <c r="K3" s="10" t="b">
        <f>AND(Revenue_DB[[#This Row],[Units Sold]]&gt;30,Revenue_DB[[#This Row],[Total Revenue ($)]]&gt;=1000)</f>
        <v>0</v>
      </c>
      <c r="L3" s="10" t="str">
        <f>IF(Revenue_DB[[#This Row],[AND]],"Best Sales","Worst Sales")</f>
        <v>Worst Sales</v>
      </c>
      <c r="M3" s="10" t="b">
        <f>OR(Revenue_DB[[#This Row],[Units Sold]]&gt;30,Revenue_DB[[#This Row],[Total Revenue ($)]]&gt;=1000)</f>
        <v>1</v>
      </c>
      <c r="N3" s="10" t="b">
        <f>NOT(Revenue_DB[[#This Row],[Discount (%)]]&gt;10)</f>
        <v>0</v>
      </c>
      <c r="O3" s="10" t="str">
        <f>RIGHT(Revenue_DB[[#This Row],[Order ID]],4)</f>
        <v>1002</v>
      </c>
      <c r="P3" s="10" t="str">
        <f>LEFT(Revenue_DB[[#This Row],[Order ID]],3)</f>
        <v>ORD</v>
      </c>
      <c r="Q3" s="10" t="str">
        <f>MID(Revenue_DB[[#This Row],[Order ID]],1,4)</f>
        <v>ORD-</v>
      </c>
      <c r="R3" s="10" t="str">
        <f>UPPER(Revenue_DB[[#This Row],[Category]])</f>
        <v>ELECTRONICS</v>
      </c>
      <c r="S3" s="10" t="str">
        <f>LOWER(Revenue_DB[[#This Row],[Product]])</f>
        <v>wireless mouse</v>
      </c>
      <c r="T3" s="10" t="str">
        <f>PROPER(Revenue_DB[[#This Row],[LOWER]])</f>
        <v>Wireless Mouse</v>
      </c>
      <c r="U3" s="10">
        <f>LEN(Revenue_DB[[#This Row],[UPPER]])</f>
        <v>11</v>
      </c>
    </row>
    <row r="4" spans="1:21" ht="15" thickBot="1" x14ac:dyDescent="0.35">
      <c r="A4" s="5" t="s">
        <v>18</v>
      </c>
      <c r="B4" s="6" t="s">
        <v>19</v>
      </c>
      <c r="C4" s="6" t="s">
        <v>11</v>
      </c>
      <c r="D4" s="6" t="s">
        <v>20</v>
      </c>
      <c r="E4" s="6" t="s">
        <v>21</v>
      </c>
      <c r="F4" s="6">
        <v>15</v>
      </c>
      <c r="G4" s="6">
        <v>49.99</v>
      </c>
      <c r="H4" s="6">
        <v>20</v>
      </c>
      <c r="I4" s="7">
        <v>599.88</v>
      </c>
      <c r="J4" s="54" t="str">
        <f>IF(Revenue_DB[[#This Row],[Units Sold]]&gt;30,"High Sales","Low Sales")</f>
        <v>Low Sales</v>
      </c>
      <c r="K4" s="6" t="b">
        <f>AND(Revenue_DB[[#This Row],[Units Sold]]&gt;30,Revenue_DB[[#This Row],[Total Revenue ($)]]&gt;=1000)</f>
        <v>0</v>
      </c>
      <c r="L4" s="6" t="str">
        <f>IF(Revenue_DB[[#This Row],[AND]],"Best Sales","Worst Sales")</f>
        <v>Worst Sales</v>
      </c>
      <c r="M4" s="6" t="b">
        <f>OR(Revenue_DB[[#This Row],[Units Sold]]&gt;30,Revenue_DB[[#This Row],[Total Revenue ($)]]&gt;=1000)</f>
        <v>0</v>
      </c>
      <c r="N4" s="6" t="b">
        <f>NOT(Revenue_DB[[#This Row],[Discount (%)]]&gt;10)</f>
        <v>0</v>
      </c>
      <c r="O4" s="6" t="str">
        <f>RIGHT(Revenue_DB[[#This Row],[Order ID]],4)</f>
        <v>1003</v>
      </c>
      <c r="P4" s="6" t="str">
        <f>LEFT(Revenue_DB[[#This Row],[Order ID]],3)</f>
        <v>ORD</v>
      </c>
      <c r="Q4" s="6" t="str">
        <f>MID(Revenue_DB[[#This Row],[Order ID]],1,4)</f>
        <v>ORD-</v>
      </c>
      <c r="R4" s="6" t="str">
        <f>UPPER(Revenue_DB[[#This Row],[Category]])</f>
        <v>FURNITURE</v>
      </c>
      <c r="S4" s="6" t="str">
        <f>LOWER(Revenue_DB[[#This Row],[Product]])</f>
        <v>desk lamp</v>
      </c>
      <c r="T4" s="6" t="str">
        <f>PROPER(Revenue_DB[[#This Row],[LOWER]])</f>
        <v>Desk Lamp</v>
      </c>
      <c r="U4" s="6">
        <f>LEN(Revenue_DB[[#This Row],[UPPER]])</f>
        <v>9</v>
      </c>
    </row>
    <row r="5" spans="1:21" ht="15" thickBot="1" x14ac:dyDescent="0.35">
      <c r="A5" s="8"/>
      <c r="B5" s="9">
        <v>45393</v>
      </c>
      <c r="C5" s="10" t="s">
        <v>15</v>
      </c>
      <c r="D5" s="10" t="s">
        <v>20</v>
      </c>
      <c r="E5" s="10" t="s">
        <v>21</v>
      </c>
      <c r="F5" s="10">
        <v>46</v>
      </c>
      <c r="G5" s="10">
        <v>49.99</v>
      </c>
      <c r="H5" s="10">
        <v>20</v>
      </c>
      <c r="I5" s="11">
        <v>1839.63</v>
      </c>
      <c r="J5" s="53" t="str">
        <f>IF(Revenue_DB[[#This Row],[Units Sold]]&gt;30,"High Sales","Low Sales")</f>
        <v>High Sales</v>
      </c>
      <c r="K5" s="10" t="b">
        <f>AND(Revenue_DB[[#This Row],[Units Sold]]&gt;30,Revenue_DB[[#This Row],[Total Revenue ($)]]&gt;=1000)</f>
        <v>1</v>
      </c>
      <c r="L5" s="10" t="str">
        <f>IF(Revenue_DB[[#This Row],[AND]],"Best Sales","Worst Sales")</f>
        <v>Best Sales</v>
      </c>
      <c r="M5" s="10" t="b">
        <f>OR(Revenue_DB[[#This Row],[Units Sold]]&gt;30,Revenue_DB[[#This Row],[Total Revenue ($)]]&gt;=1000)</f>
        <v>1</v>
      </c>
      <c r="N5" s="10" t="b">
        <f>NOT(Revenue_DB[[#This Row],[Discount (%)]]&gt;10)</f>
        <v>0</v>
      </c>
      <c r="O5" s="10" t="str">
        <f>RIGHT(Revenue_DB[[#This Row],[Order ID]],4)</f>
        <v/>
      </c>
      <c r="P5" s="10" t="str">
        <f>LEFT(Revenue_DB[[#This Row],[Order ID]],3)</f>
        <v/>
      </c>
      <c r="Q5" s="10" t="str">
        <f>MID(Revenue_DB[[#This Row],[Order ID]],1,4)</f>
        <v/>
      </c>
      <c r="R5" s="10" t="str">
        <f>UPPER(Revenue_DB[[#This Row],[Category]])</f>
        <v>FURNITURE</v>
      </c>
      <c r="S5" s="10" t="str">
        <f>LOWER(Revenue_DB[[#This Row],[Product]])</f>
        <v>desk lamp</v>
      </c>
      <c r="T5" s="10" t="str">
        <f>PROPER(Revenue_DB[[#This Row],[LOWER]])</f>
        <v>Desk Lamp</v>
      </c>
      <c r="U5" s="10">
        <f>LEN(Revenue_DB[[#This Row],[UPPER]])</f>
        <v>9</v>
      </c>
    </row>
    <row r="6" spans="1:21" ht="15" thickBot="1" x14ac:dyDescent="0.35">
      <c r="A6" s="5" t="s">
        <v>22</v>
      </c>
      <c r="B6" s="12">
        <v>45330</v>
      </c>
      <c r="C6" s="6" t="s">
        <v>23</v>
      </c>
      <c r="D6" s="6" t="s">
        <v>24</v>
      </c>
      <c r="E6" s="6" t="s">
        <v>13</v>
      </c>
      <c r="F6" s="6">
        <v>18</v>
      </c>
      <c r="G6" s="6">
        <v>14.99</v>
      </c>
      <c r="H6" s="6">
        <v>0</v>
      </c>
      <c r="I6" s="7">
        <v>269.82</v>
      </c>
      <c r="J6" s="54" t="str">
        <f>IF(Revenue_DB[[#This Row],[Units Sold]]&gt;30,"High Sales","Low Sales")</f>
        <v>Low Sales</v>
      </c>
      <c r="K6" s="6" t="b">
        <f>AND(Revenue_DB[[#This Row],[Units Sold]]&gt;30,Revenue_DB[[#This Row],[Total Revenue ($)]]&gt;=1000)</f>
        <v>0</v>
      </c>
      <c r="L6" s="6" t="str">
        <f>IF(Revenue_DB[[#This Row],[AND]],"Best Sales","Worst Sales")</f>
        <v>Worst Sales</v>
      </c>
      <c r="M6" s="6" t="b">
        <f>OR(Revenue_DB[[#This Row],[Units Sold]]&gt;30,Revenue_DB[[#This Row],[Total Revenue ($)]]&gt;=1000)</f>
        <v>0</v>
      </c>
      <c r="N6" s="6" t="b">
        <f>NOT(Revenue_DB[[#This Row],[Discount (%)]]&gt;10)</f>
        <v>1</v>
      </c>
      <c r="O6" s="6" t="str">
        <f>RIGHT(Revenue_DB[[#This Row],[Order ID]],4)</f>
        <v>1005</v>
      </c>
      <c r="P6" s="6" t="str">
        <f>LEFT(Revenue_DB[[#This Row],[Order ID]],3)</f>
        <v>ORD</v>
      </c>
      <c r="Q6" s="6" t="str">
        <f>MID(Revenue_DB[[#This Row],[Order ID]],1,4)</f>
        <v>ORD-</v>
      </c>
      <c r="R6" s="6" t="str">
        <f>UPPER(Revenue_DB[[#This Row],[Category]])</f>
        <v>STATIONERY</v>
      </c>
      <c r="S6" s="6" t="str">
        <f>LOWER(Revenue_DB[[#This Row],[Product]])</f>
        <v>marker set</v>
      </c>
      <c r="T6" s="6" t="str">
        <f>PROPER(Revenue_DB[[#This Row],[LOWER]])</f>
        <v>Marker Set</v>
      </c>
      <c r="U6" s="6">
        <f>LEN(Revenue_DB[[#This Row],[UPPER]])</f>
        <v>10</v>
      </c>
    </row>
    <row r="7" spans="1:21" ht="15" thickBot="1" x14ac:dyDescent="0.35">
      <c r="A7" s="8" t="s">
        <v>25</v>
      </c>
      <c r="B7" s="10" t="s">
        <v>26</v>
      </c>
      <c r="C7" s="10" t="s">
        <v>27</v>
      </c>
      <c r="D7" s="10" t="s">
        <v>12</v>
      </c>
      <c r="E7" s="10" t="s">
        <v>13</v>
      </c>
      <c r="F7" s="10">
        <v>10</v>
      </c>
      <c r="G7" s="10">
        <v>19.989999999999998</v>
      </c>
      <c r="H7" s="10">
        <v>5</v>
      </c>
      <c r="I7" s="11">
        <v>189.91</v>
      </c>
      <c r="J7" s="53" t="str">
        <f>IF(Revenue_DB[[#This Row],[Units Sold]]&gt;30,"High Sales","Low Sales")</f>
        <v>Low Sales</v>
      </c>
      <c r="K7" s="10" t="b">
        <f>AND(Revenue_DB[[#This Row],[Units Sold]]&gt;30,Revenue_DB[[#This Row],[Total Revenue ($)]]&gt;=1000)</f>
        <v>0</v>
      </c>
      <c r="L7" s="10" t="str">
        <f>IF(Revenue_DB[[#This Row],[AND]],"Best Sales","Worst Sales")</f>
        <v>Worst Sales</v>
      </c>
      <c r="M7" s="10" t="b">
        <f>OR(Revenue_DB[[#This Row],[Units Sold]]&gt;30,Revenue_DB[[#This Row],[Total Revenue ($)]]&gt;=1000)</f>
        <v>0</v>
      </c>
      <c r="N7" s="10" t="b">
        <f>NOT(Revenue_DB[[#This Row],[Discount (%)]]&gt;10)</f>
        <v>1</v>
      </c>
      <c r="O7" s="10" t="str">
        <f>RIGHT(Revenue_DB[[#This Row],[Order ID]],4)</f>
        <v>1006</v>
      </c>
      <c r="P7" s="10" t="str">
        <f>LEFT(Revenue_DB[[#This Row],[Order ID]],3)</f>
        <v>ORD</v>
      </c>
      <c r="Q7" s="10" t="str">
        <f>MID(Revenue_DB[[#This Row],[Order ID]],1,4)</f>
        <v>ORD-</v>
      </c>
      <c r="R7" s="10" t="str">
        <f>UPPER(Revenue_DB[[#This Row],[Category]])</f>
        <v>STATIONERY</v>
      </c>
      <c r="S7" s="10" t="str">
        <f>LOWER(Revenue_DB[[#This Row],[Product]])</f>
        <v>notebook set</v>
      </c>
      <c r="T7" s="10" t="str">
        <f>PROPER(Revenue_DB[[#This Row],[LOWER]])</f>
        <v>Notebook Set</v>
      </c>
      <c r="U7" s="10">
        <f>LEN(Revenue_DB[[#This Row],[UPPER]])</f>
        <v>10</v>
      </c>
    </row>
    <row r="8" spans="1:21" ht="15" thickBot="1" x14ac:dyDescent="0.35">
      <c r="A8" s="5" t="s">
        <v>28</v>
      </c>
      <c r="B8" s="6" t="s">
        <v>29</v>
      </c>
      <c r="C8" s="6" t="s">
        <v>11</v>
      </c>
      <c r="D8" s="6" t="s">
        <v>30</v>
      </c>
      <c r="E8" s="6" t="s">
        <v>17</v>
      </c>
      <c r="F8" s="6">
        <v>7</v>
      </c>
      <c r="G8" s="6">
        <v>499.99</v>
      </c>
      <c r="H8" s="6">
        <v>10</v>
      </c>
      <c r="I8" s="7">
        <v>3149.94</v>
      </c>
      <c r="J8" s="54" t="str">
        <f>IF(Revenue_DB[[#This Row],[Units Sold]]&gt;30,"High Sales","Low Sales")</f>
        <v>Low Sales</v>
      </c>
      <c r="K8" s="6" t="b">
        <f>AND(Revenue_DB[[#This Row],[Units Sold]]&gt;30,Revenue_DB[[#This Row],[Total Revenue ($)]]&gt;=1000)</f>
        <v>0</v>
      </c>
      <c r="L8" s="6" t="str">
        <f>IF(Revenue_DB[[#This Row],[AND]],"Best Sales","Worst Sales")</f>
        <v>Worst Sales</v>
      </c>
      <c r="M8" s="6" t="b">
        <f>OR(Revenue_DB[[#This Row],[Units Sold]]&gt;30,Revenue_DB[[#This Row],[Total Revenue ($)]]&gt;=1000)</f>
        <v>1</v>
      </c>
      <c r="N8" s="6" t="b">
        <f>NOT(Revenue_DB[[#This Row],[Discount (%)]]&gt;10)</f>
        <v>1</v>
      </c>
      <c r="O8" s="6" t="str">
        <f>RIGHT(Revenue_DB[[#This Row],[Order ID]],4)</f>
        <v>1007</v>
      </c>
      <c r="P8" s="6" t="str">
        <f>LEFT(Revenue_DB[[#This Row],[Order ID]],3)</f>
        <v>ORD</v>
      </c>
      <c r="Q8" s="6" t="str">
        <f>MID(Revenue_DB[[#This Row],[Order ID]],1,4)</f>
        <v>ORD-</v>
      </c>
      <c r="R8" s="6" t="str">
        <f>UPPER(Revenue_DB[[#This Row],[Category]])</f>
        <v>ELECTRONICS</v>
      </c>
      <c r="S8" s="6" t="str">
        <f>LOWER(Revenue_DB[[#This Row],[Product]])</f>
        <v>monitor 27"</v>
      </c>
      <c r="T8" s="6" t="str">
        <f>PROPER(Revenue_DB[[#This Row],[LOWER]])</f>
        <v>Monitor 27"</v>
      </c>
      <c r="U8" s="6">
        <f>LEN(Revenue_DB[[#This Row],[UPPER]])</f>
        <v>11</v>
      </c>
    </row>
    <row r="9" spans="1:21" ht="15" thickBot="1" x14ac:dyDescent="0.35">
      <c r="A9" s="8" t="s">
        <v>31</v>
      </c>
      <c r="B9" s="10" t="s">
        <v>32</v>
      </c>
      <c r="C9" s="10" t="s">
        <v>27</v>
      </c>
      <c r="D9" s="10" t="s">
        <v>33</v>
      </c>
      <c r="E9" s="10" t="s">
        <v>17</v>
      </c>
      <c r="F9" s="10">
        <v>47</v>
      </c>
      <c r="G9" s="10">
        <v>1299.99</v>
      </c>
      <c r="H9" s="10">
        <v>15</v>
      </c>
      <c r="I9" s="11">
        <v>51934.6</v>
      </c>
      <c r="J9" s="53" t="str">
        <f>IF(Revenue_DB[[#This Row],[Units Sold]]&gt;30,"High Sales","Low Sales")</f>
        <v>High Sales</v>
      </c>
      <c r="K9" s="10" t="b">
        <f>AND(Revenue_DB[[#This Row],[Units Sold]]&gt;30,Revenue_DB[[#This Row],[Total Revenue ($)]]&gt;=1000)</f>
        <v>1</v>
      </c>
      <c r="L9" s="10" t="str">
        <f>IF(Revenue_DB[[#This Row],[AND]],"Best Sales","Worst Sales")</f>
        <v>Best Sales</v>
      </c>
      <c r="M9" s="10" t="b">
        <f>OR(Revenue_DB[[#This Row],[Units Sold]]&gt;30,Revenue_DB[[#This Row],[Total Revenue ($)]]&gt;=1000)</f>
        <v>1</v>
      </c>
      <c r="N9" s="10" t="b">
        <f>NOT(Revenue_DB[[#This Row],[Discount (%)]]&gt;10)</f>
        <v>0</v>
      </c>
      <c r="O9" s="10" t="str">
        <f>RIGHT(Revenue_DB[[#This Row],[Order ID]],4)</f>
        <v>1008</v>
      </c>
      <c r="P9" s="10" t="str">
        <f>LEFT(Revenue_DB[[#This Row],[Order ID]],3)</f>
        <v>ORD</v>
      </c>
      <c r="Q9" s="10" t="str">
        <f>MID(Revenue_DB[[#This Row],[Order ID]],1,4)</f>
        <v>ORD-</v>
      </c>
      <c r="R9" s="10" t="str">
        <f>UPPER(Revenue_DB[[#This Row],[Category]])</f>
        <v>ELECTRONICS</v>
      </c>
      <c r="S9" s="10" t="str">
        <f>LOWER(Revenue_DB[[#This Row],[Product]])</f>
        <v>laptop pro</v>
      </c>
      <c r="T9" s="10" t="str">
        <f>PROPER(Revenue_DB[[#This Row],[LOWER]])</f>
        <v>Laptop Pro</v>
      </c>
      <c r="U9" s="10">
        <f>LEN(Revenue_DB[[#This Row],[UPPER]])</f>
        <v>11</v>
      </c>
    </row>
    <row r="10" spans="1:21" ht="15" thickBot="1" x14ac:dyDescent="0.35">
      <c r="A10" s="5" t="s">
        <v>34</v>
      </c>
      <c r="B10" s="12">
        <v>45301</v>
      </c>
      <c r="C10" s="6" t="s">
        <v>23</v>
      </c>
      <c r="D10" s="6" t="s">
        <v>16</v>
      </c>
      <c r="E10" s="6" t="s">
        <v>17</v>
      </c>
      <c r="F10" s="13">
        <v>47</v>
      </c>
      <c r="G10" s="6">
        <v>29.99</v>
      </c>
      <c r="H10" s="6">
        <v>10</v>
      </c>
      <c r="I10" s="7">
        <v>1268.58</v>
      </c>
      <c r="J10" s="54" t="str">
        <f>IF(Revenue_DB[[#This Row],[Units Sold]]&gt;30,"High Sales","Low Sales")</f>
        <v>High Sales</v>
      </c>
      <c r="K10" s="6" t="b">
        <f>AND(Revenue_DB[[#This Row],[Units Sold]]&gt;30,Revenue_DB[[#This Row],[Total Revenue ($)]]&gt;=1000)</f>
        <v>1</v>
      </c>
      <c r="L10" s="6" t="str">
        <f>IF(Revenue_DB[[#This Row],[AND]],"Best Sales","Worst Sales")</f>
        <v>Best Sales</v>
      </c>
      <c r="M10" s="6" t="b">
        <f>OR(Revenue_DB[[#This Row],[Units Sold]]&gt;30,Revenue_DB[[#This Row],[Total Revenue ($)]]&gt;=1000)</f>
        <v>1</v>
      </c>
      <c r="N10" s="6" t="b">
        <f>NOT(Revenue_DB[[#This Row],[Discount (%)]]&gt;10)</f>
        <v>1</v>
      </c>
      <c r="O10" s="6" t="str">
        <f>RIGHT(Revenue_DB[[#This Row],[Order ID]],4)</f>
        <v>1009</v>
      </c>
      <c r="P10" s="6" t="str">
        <f>LEFT(Revenue_DB[[#This Row],[Order ID]],3)</f>
        <v>ORD</v>
      </c>
      <c r="Q10" s="6" t="str">
        <f>MID(Revenue_DB[[#This Row],[Order ID]],1,4)</f>
        <v>ORD-</v>
      </c>
      <c r="R10" s="6" t="str">
        <f>UPPER(Revenue_DB[[#This Row],[Category]])</f>
        <v>ELECTRONICS</v>
      </c>
      <c r="S10" s="6" t="str">
        <f>LOWER(Revenue_DB[[#This Row],[Product]])</f>
        <v>wireless mouse</v>
      </c>
      <c r="T10" s="6" t="str">
        <f>PROPER(Revenue_DB[[#This Row],[LOWER]])</f>
        <v>Wireless Mouse</v>
      </c>
      <c r="U10" s="6">
        <f>LEN(Revenue_DB[[#This Row],[UPPER]])</f>
        <v>11</v>
      </c>
    </row>
    <row r="11" spans="1:21" ht="15" thickBot="1" x14ac:dyDescent="0.35">
      <c r="A11" s="8"/>
      <c r="B11" s="10" t="s">
        <v>35</v>
      </c>
      <c r="C11" s="10" t="s">
        <v>27</v>
      </c>
      <c r="D11" s="10" t="s">
        <v>24</v>
      </c>
      <c r="E11" s="10" t="s">
        <v>13</v>
      </c>
      <c r="F11" s="10">
        <v>13</v>
      </c>
      <c r="G11" s="10">
        <v>14.99</v>
      </c>
      <c r="H11" s="10">
        <v>0</v>
      </c>
      <c r="I11" s="11">
        <v>194.87</v>
      </c>
      <c r="J11" s="53" t="str">
        <f>IF(Revenue_DB[[#This Row],[Units Sold]]&gt;30,"High Sales","Low Sales")</f>
        <v>Low Sales</v>
      </c>
      <c r="K11" s="10" t="b">
        <f>AND(Revenue_DB[[#This Row],[Units Sold]]&gt;30,Revenue_DB[[#This Row],[Total Revenue ($)]]&gt;=1000)</f>
        <v>0</v>
      </c>
      <c r="L11" s="10" t="str">
        <f>IF(Revenue_DB[[#This Row],[AND]],"Best Sales","Worst Sales")</f>
        <v>Worst Sales</v>
      </c>
      <c r="M11" s="10" t="b">
        <f>OR(Revenue_DB[[#This Row],[Units Sold]]&gt;30,Revenue_DB[[#This Row],[Total Revenue ($)]]&gt;=1000)</f>
        <v>0</v>
      </c>
      <c r="N11" s="10" t="b">
        <f>NOT(Revenue_DB[[#This Row],[Discount (%)]]&gt;10)</f>
        <v>1</v>
      </c>
      <c r="O11" s="10" t="str">
        <f>RIGHT(Revenue_DB[[#This Row],[Order ID]],4)</f>
        <v/>
      </c>
      <c r="P11" s="10" t="str">
        <f>LEFT(Revenue_DB[[#This Row],[Order ID]],3)</f>
        <v/>
      </c>
      <c r="Q11" s="10" t="str">
        <f>MID(Revenue_DB[[#This Row],[Order ID]],1,4)</f>
        <v/>
      </c>
      <c r="R11" s="10" t="str">
        <f>UPPER(Revenue_DB[[#This Row],[Category]])</f>
        <v>STATIONERY</v>
      </c>
      <c r="S11" s="10" t="str">
        <f>LOWER(Revenue_DB[[#This Row],[Product]])</f>
        <v>marker set</v>
      </c>
      <c r="T11" s="10" t="str">
        <f>PROPER(Revenue_DB[[#This Row],[LOWER]])</f>
        <v>Marker Set</v>
      </c>
      <c r="U11" s="10">
        <f>LEN(Revenue_DB[[#This Row],[UPPER]])</f>
        <v>10</v>
      </c>
    </row>
    <row r="12" spans="1:21" ht="15" thickBot="1" x14ac:dyDescent="0.35">
      <c r="A12" s="5" t="s">
        <v>36</v>
      </c>
      <c r="B12" s="6" t="s">
        <v>37</v>
      </c>
      <c r="C12" s="6" t="s">
        <v>27</v>
      </c>
      <c r="D12" s="6" t="s">
        <v>16</v>
      </c>
      <c r="E12" s="6" t="s">
        <v>17</v>
      </c>
      <c r="F12" s="6">
        <v>15</v>
      </c>
      <c r="G12" s="6">
        <v>29.99</v>
      </c>
      <c r="H12" s="6">
        <v>0</v>
      </c>
      <c r="I12" s="7">
        <v>449.85</v>
      </c>
      <c r="J12" s="54" t="str">
        <f>IF(Revenue_DB[[#This Row],[Units Sold]]&gt;30,"High Sales","Low Sales")</f>
        <v>Low Sales</v>
      </c>
      <c r="K12" s="6" t="b">
        <f>AND(Revenue_DB[[#This Row],[Units Sold]]&gt;30,Revenue_DB[[#This Row],[Total Revenue ($)]]&gt;=1000)</f>
        <v>0</v>
      </c>
      <c r="L12" s="6" t="str">
        <f>IF(Revenue_DB[[#This Row],[AND]],"Best Sales","Worst Sales")</f>
        <v>Worst Sales</v>
      </c>
      <c r="M12" s="6" t="b">
        <f>OR(Revenue_DB[[#This Row],[Units Sold]]&gt;30,Revenue_DB[[#This Row],[Total Revenue ($)]]&gt;=1000)</f>
        <v>0</v>
      </c>
      <c r="N12" s="6" t="b">
        <f>NOT(Revenue_DB[[#This Row],[Discount (%)]]&gt;10)</f>
        <v>1</v>
      </c>
      <c r="O12" s="6" t="str">
        <f>RIGHT(Revenue_DB[[#This Row],[Order ID]],4)</f>
        <v>1011</v>
      </c>
      <c r="P12" s="6" t="str">
        <f>LEFT(Revenue_DB[[#This Row],[Order ID]],3)</f>
        <v>ORD</v>
      </c>
      <c r="Q12" s="6" t="str">
        <f>MID(Revenue_DB[[#This Row],[Order ID]],1,4)</f>
        <v>ORD-</v>
      </c>
      <c r="R12" s="6" t="str">
        <f>UPPER(Revenue_DB[[#This Row],[Category]])</f>
        <v>ELECTRONICS</v>
      </c>
      <c r="S12" s="6" t="str">
        <f>LOWER(Revenue_DB[[#This Row],[Product]])</f>
        <v>wireless mouse</v>
      </c>
      <c r="T12" s="6" t="str">
        <f>PROPER(Revenue_DB[[#This Row],[LOWER]])</f>
        <v>Wireless Mouse</v>
      </c>
      <c r="U12" s="6">
        <f>LEN(Revenue_DB[[#This Row],[UPPER]])</f>
        <v>11</v>
      </c>
    </row>
    <row r="13" spans="1:21" ht="15" thickBot="1" x14ac:dyDescent="0.35">
      <c r="A13" s="8" t="s">
        <v>38</v>
      </c>
      <c r="B13" s="10" t="s">
        <v>39</v>
      </c>
      <c r="C13" s="10" t="s">
        <v>23</v>
      </c>
      <c r="D13" s="10" t="s">
        <v>40</v>
      </c>
      <c r="E13" s="10" t="s">
        <v>13</v>
      </c>
      <c r="F13" s="6">
        <v>15</v>
      </c>
      <c r="G13" s="10">
        <v>9.99</v>
      </c>
      <c r="H13" s="10">
        <v>10</v>
      </c>
      <c r="I13" s="11">
        <v>134.87</v>
      </c>
      <c r="J13" s="53" t="str">
        <f>IF(Revenue_DB[[#This Row],[Units Sold]]&gt;30,"High Sales","Low Sales")</f>
        <v>Low Sales</v>
      </c>
      <c r="K13" s="10" t="b">
        <f>AND(Revenue_DB[[#This Row],[Units Sold]]&gt;30,Revenue_DB[[#This Row],[Total Revenue ($)]]&gt;=1000)</f>
        <v>0</v>
      </c>
      <c r="L13" s="10" t="str">
        <f>IF(Revenue_DB[[#This Row],[AND]],"Best Sales","Worst Sales")</f>
        <v>Worst Sales</v>
      </c>
      <c r="M13" s="10" t="b">
        <f>OR(Revenue_DB[[#This Row],[Units Sold]]&gt;30,Revenue_DB[[#This Row],[Total Revenue ($)]]&gt;=1000)</f>
        <v>0</v>
      </c>
      <c r="N13" s="10" t="b">
        <f>NOT(Revenue_DB[[#This Row],[Discount (%)]]&gt;10)</f>
        <v>1</v>
      </c>
      <c r="O13" s="10" t="str">
        <f>RIGHT(Revenue_DB[[#This Row],[Order ID]],4)</f>
        <v>1012</v>
      </c>
      <c r="P13" s="10" t="str">
        <f>LEFT(Revenue_DB[[#This Row],[Order ID]],3)</f>
        <v>ORD</v>
      </c>
      <c r="Q13" s="10" t="str">
        <f>MID(Revenue_DB[[#This Row],[Order ID]],1,4)</f>
        <v>ORD-</v>
      </c>
      <c r="R13" s="10" t="str">
        <f>UPPER(Revenue_DB[[#This Row],[Category]])</f>
        <v>STATIONERY</v>
      </c>
      <c r="S13" s="10" t="str">
        <f>LOWER(Revenue_DB[[#This Row],[Product]])</f>
        <v>pen pack</v>
      </c>
      <c r="T13" s="10" t="str">
        <f>PROPER(Revenue_DB[[#This Row],[LOWER]])</f>
        <v>Pen Pack</v>
      </c>
      <c r="U13" s="10">
        <f>LEN(Revenue_DB[[#This Row],[UPPER]])</f>
        <v>10</v>
      </c>
    </row>
    <row r="14" spans="1:21" ht="15" thickBot="1" x14ac:dyDescent="0.35">
      <c r="A14" s="5" t="s">
        <v>41</v>
      </c>
      <c r="B14" s="6" t="s">
        <v>42</v>
      </c>
      <c r="C14" s="6" t="s">
        <v>27</v>
      </c>
      <c r="D14" s="6" t="s">
        <v>16</v>
      </c>
      <c r="E14" s="6" t="s">
        <v>17</v>
      </c>
      <c r="F14" s="6">
        <v>39</v>
      </c>
      <c r="G14" s="6">
        <v>29.99</v>
      </c>
      <c r="H14" s="6">
        <v>5</v>
      </c>
      <c r="I14" s="7">
        <v>1111.1300000000001</v>
      </c>
      <c r="J14" s="54" t="str">
        <f>IF(Revenue_DB[[#This Row],[Units Sold]]&gt;30,"High Sales","Low Sales")</f>
        <v>High Sales</v>
      </c>
      <c r="K14" s="6" t="b">
        <f>AND(Revenue_DB[[#This Row],[Units Sold]]&gt;30,Revenue_DB[[#This Row],[Total Revenue ($)]]&gt;=1000)</f>
        <v>1</v>
      </c>
      <c r="L14" s="6" t="str">
        <f>IF(Revenue_DB[[#This Row],[AND]],"Best Sales","Worst Sales")</f>
        <v>Best Sales</v>
      </c>
      <c r="M14" s="6" t="b">
        <f>OR(Revenue_DB[[#This Row],[Units Sold]]&gt;30,Revenue_DB[[#This Row],[Total Revenue ($)]]&gt;=1000)</f>
        <v>1</v>
      </c>
      <c r="N14" s="6" t="b">
        <f>NOT(Revenue_DB[[#This Row],[Discount (%)]]&gt;10)</f>
        <v>1</v>
      </c>
      <c r="O14" s="6" t="str">
        <f>RIGHT(Revenue_DB[[#This Row],[Order ID]],4)</f>
        <v>1013</v>
      </c>
      <c r="P14" s="6" t="str">
        <f>LEFT(Revenue_DB[[#This Row],[Order ID]],3)</f>
        <v>ORD</v>
      </c>
      <c r="Q14" s="6" t="str">
        <f>MID(Revenue_DB[[#This Row],[Order ID]],1,4)</f>
        <v>ORD-</v>
      </c>
      <c r="R14" s="6" t="str">
        <f>UPPER(Revenue_DB[[#This Row],[Category]])</f>
        <v>ELECTRONICS</v>
      </c>
      <c r="S14" s="6" t="str">
        <f>LOWER(Revenue_DB[[#This Row],[Product]])</f>
        <v>wireless mouse</v>
      </c>
      <c r="T14" s="6" t="str">
        <f>PROPER(Revenue_DB[[#This Row],[LOWER]])</f>
        <v>Wireless Mouse</v>
      </c>
      <c r="U14" s="6">
        <f>LEN(Revenue_DB[[#This Row],[UPPER]])</f>
        <v>11</v>
      </c>
    </row>
    <row r="15" spans="1:21" ht="15" thickBot="1" x14ac:dyDescent="0.35">
      <c r="A15" s="8" t="s">
        <v>43</v>
      </c>
      <c r="B15" s="10" t="s">
        <v>44</v>
      </c>
      <c r="C15" s="10" t="s">
        <v>45</v>
      </c>
      <c r="D15" s="10" t="s">
        <v>46</v>
      </c>
      <c r="E15" s="10" t="s">
        <v>17</v>
      </c>
      <c r="F15" s="10">
        <v>25</v>
      </c>
      <c r="G15" s="10">
        <v>89.99</v>
      </c>
      <c r="H15" s="10">
        <v>10</v>
      </c>
      <c r="I15" s="11">
        <v>2024.78</v>
      </c>
      <c r="J15" s="53" t="str">
        <f>IF(Revenue_DB[[#This Row],[Units Sold]]&gt;30,"High Sales","Low Sales")</f>
        <v>Low Sales</v>
      </c>
      <c r="K15" s="10" t="b">
        <f>AND(Revenue_DB[[#This Row],[Units Sold]]&gt;30,Revenue_DB[[#This Row],[Total Revenue ($)]]&gt;=1000)</f>
        <v>0</v>
      </c>
      <c r="L15" s="10" t="str">
        <f>IF(Revenue_DB[[#This Row],[AND]],"Best Sales","Worst Sales")</f>
        <v>Worst Sales</v>
      </c>
      <c r="M15" s="10" t="b">
        <f>OR(Revenue_DB[[#This Row],[Units Sold]]&gt;30,Revenue_DB[[#This Row],[Total Revenue ($)]]&gt;=1000)</f>
        <v>1</v>
      </c>
      <c r="N15" s="10" t="b">
        <f>NOT(Revenue_DB[[#This Row],[Discount (%)]]&gt;10)</f>
        <v>1</v>
      </c>
      <c r="O15" s="10" t="str">
        <f>RIGHT(Revenue_DB[[#This Row],[Order ID]],4)</f>
        <v>1014</v>
      </c>
      <c r="P15" s="10" t="str">
        <f>LEFT(Revenue_DB[[#This Row],[Order ID]],3)</f>
        <v>ORD</v>
      </c>
      <c r="Q15" s="10" t="str">
        <f>MID(Revenue_DB[[#This Row],[Order ID]],1,4)</f>
        <v>ORD-</v>
      </c>
      <c r="R15" s="10" t="str">
        <f>UPPER(Revenue_DB[[#This Row],[Category]])</f>
        <v>ELECTRONICS</v>
      </c>
      <c r="S15" s="10" t="str">
        <f>LOWER(Revenue_DB[[#This Row],[Product]])</f>
        <v>keyboard</v>
      </c>
      <c r="T15" s="10" t="str">
        <f>PROPER(Revenue_DB[[#This Row],[LOWER]])</f>
        <v>Keyboard</v>
      </c>
      <c r="U15" s="10">
        <f>LEN(Revenue_DB[[#This Row],[UPPER]])</f>
        <v>11</v>
      </c>
    </row>
    <row r="16" spans="1:21" ht="15" thickBot="1" x14ac:dyDescent="0.35">
      <c r="A16" s="5" t="s">
        <v>47</v>
      </c>
      <c r="B16" s="6" t="s">
        <v>10</v>
      </c>
      <c r="C16" s="6" t="s">
        <v>45</v>
      </c>
      <c r="D16" s="6" t="s">
        <v>40</v>
      </c>
      <c r="E16" s="6" t="s">
        <v>13</v>
      </c>
      <c r="F16" s="6">
        <v>50</v>
      </c>
      <c r="G16" s="6">
        <v>9.99</v>
      </c>
      <c r="H16" s="6">
        <v>0</v>
      </c>
      <c r="I16" s="7">
        <v>499.5</v>
      </c>
      <c r="J16" s="54" t="str">
        <f>IF(Revenue_DB[[#This Row],[Units Sold]]&gt;30,"High Sales","Low Sales")</f>
        <v>High Sales</v>
      </c>
      <c r="K16" s="6" t="b">
        <f>AND(Revenue_DB[[#This Row],[Units Sold]]&gt;30,Revenue_DB[[#This Row],[Total Revenue ($)]]&gt;=1000)</f>
        <v>0</v>
      </c>
      <c r="L16" s="6" t="str">
        <f>IF(Revenue_DB[[#This Row],[AND]],"Best Sales","Worst Sales")</f>
        <v>Worst Sales</v>
      </c>
      <c r="M16" s="6" t="b">
        <f>OR(Revenue_DB[[#This Row],[Units Sold]]&gt;30,Revenue_DB[[#This Row],[Total Revenue ($)]]&gt;=1000)</f>
        <v>1</v>
      </c>
      <c r="N16" s="6" t="b">
        <f>NOT(Revenue_DB[[#This Row],[Discount (%)]]&gt;10)</f>
        <v>1</v>
      </c>
      <c r="O16" s="6" t="str">
        <f>RIGHT(Revenue_DB[[#This Row],[Order ID]],4)</f>
        <v>1015</v>
      </c>
      <c r="P16" s="6" t="str">
        <f>LEFT(Revenue_DB[[#This Row],[Order ID]],3)</f>
        <v>ORD</v>
      </c>
      <c r="Q16" s="6" t="str">
        <f>MID(Revenue_DB[[#This Row],[Order ID]],1,4)</f>
        <v>ORD-</v>
      </c>
      <c r="R16" s="6" t="str">
        <f>UPPER(Revenue_DB[[#This Row],[Category]])</f>
        <v>STATIONERY</v>
      </c>
      <c r="S16" s="6" t="str">
        <f>LOWER(Revenue_DB[[#This Row],[Product]])</f>
        <v>pen pack</v>
      </c>
      <c r="T16" s="6" t="str">
        <f>PROPER(Revenue_DB[[#This Row],[LOWER]])</f>
        <v>Pen Pack</v>
      </c>
      <c r="U16" s="6">
        <f>LEN(Revenue_DB[[#This Row],[UPPER]])</f>
        <v>10</v>
      </c>
    </row>
    <row r="17" spans="1:21" ht="15" thickBot="1" x14ac:dyDescent="0.35">
      <c r="A17" s="8" t="s">
        <v>48</v>
      </c>
      <c r="B17" s="10" t="s">
        <v>49</v>
      </c>
      <c r="C17" s="10" t="s">
        <v>27</v>
      </c>
      <c r="D17" s="10" t="s">
        <v>30</v>
      </c>
      <c r="E17" s="10" t="s">
        <v>17</v>
      </c>
      <c r="F17" s="10">
        <v>18</v>
      </c>
      <c r="G17" s="10">
        <v>499.99</v>
      </c>
      <c r="H17" s="10">
        <v>0</v>
      </c>
      <c r="I17" s="11">
        <v>8999.82</v>
      </c>
      <c r="J17" s="53" t="str">
        <f>IF(Revenue_DB[[#This Row],[Units Sold]]&gt;30,"High Sales","Low Sales")</f>
        <v>Low Sales</v>
      </c>
      <c r="K17" s="10" t="b">
        <f>AND(Revenue_DB[[#This Row],[Units Sold]]&gt;30,Revenue_DB[[#This Row],[Total Revenue ($)]]&gt;=1000)</f>
        <v>0</v>
      </c>
      <c r="L17" s="10" t="str">
        <f>IF(Revenue_DB[[#This Row],[AND]],"Best Sales","Worst Sales")</f>
        <v>Worst Sales</v>
      </c>
      <c r="M17" s="10" t="b">
        <f>OR(Revenue_DB[[#This Row],[Units Sold]]&gt;30,Revenue_DB[[#This Row],[Total Revenue ($)]]&gt;=1000)</f>
        <v>1</v>
      </c>
      <c r="N17" s="10" t="b">
        <f>NOT(Revenue_DB[[#This Row],[Discount (%)]]&gt;10)</f>
        <v>1</v>
      </c>
      <c r="O17" s="10" t="str">
        <f>RIGHT(Revenue_DB[[#This Row],[Order ID]],4)</f>
        <v>1016</v>
      </c>
      <c r="P17" s="10" t="str">
        <f>LEFT(Revenue_DB[[#This Row],[Order ID]],3)</f>
        <v>ORD</v>
      </c>
      <c r="Q17" s="10" t="str">
        <f>MID(Revenue_DB[[#This Row],[Order ID]],1,4)</f>
        <v>ORD-</v>
      </c>
      <c r="R17" s="10" t="str">
        <f>UPPER(Revenue_DB[[#This Row],[Category]])</f>
        <v>ELECTRONICS</v>
      </c>
      <c r="S17" s="10" t="str">
        <f>LOWER(Revenue_DB[[#This Row],[Product]])</f>
        <v>monitor 27"</v>
      </c>
      <c r="T17" s="10" t="str">
        <f>PROPER(Revenue_DB[[#This Row],[LOWER]])</f>
        <v>Monitor 27"</v>
      </c>
      <c r="U17" s="10">
        <f>LEN(Revenue_DB[[#This Row],[UPPER]])</f>
        <v>11</v>
      </c>
    </row>
    <row r="18" spans="1:21" ht="15" thickBot="1" x14ac:dyDescent="0.35">
      <c r="A18" s="5" t="s">
        <v>50</v>
      </c>
      <c r="B18" s="6" t="s">
        <v>51</v>
      </c>
      <c r="C18" s="6" t="s">
        <v>27</v>
      </c>
      <c r="D18" s="6" t="s">
        <v>20</v>
      </c>
      <c r="E18" s="6" t="s">
        <v>21</v>
      </c>
      <c r="F18" s="6">
        <v>42</v>
      </c>
      <c r="G18" s="6">
        <v>49.99</v>
      </c>
      <c r="H18" s="6">
        <v>15</v>
      </c>
      <c r="I18" s="7">
        <v>1784.64</v>
      </c>
      <c r="J18" s="54" t="str">
        <f>IF(Revenue_DB[[#This Row],[Units Sold]]&gt;30,"High Sales","Low Sales")</f>
        <v>High Sales</v>
      </c>
      <c r="K18" s="6" t="b">
        <f>AND(Revenue_DB[[#This Row],[Units Sold]]&gt;30,Revenue_DB[[#This Row],[Total Revenue ($)]]&gt;=1000)</f>
        <v>1</v>
      </c>
      <c r="L18" s="6" t="str">
        <f>IF(Revenue_DB[[#This Row],[AND]],"Best Sales","Worst Sales")</f>
        <v>Best Sales</v>
      </c>
      <c r="M18" s="6" t="b">
        <f>OR(Revenue_DB[[#This Row],[Units Sold]]&gt;30,Revenue_DB[[#This Row],[Total Revenue ($)]]&gt;=1000)</f>
        <v>1</v>
      </c>
      <c r="N18" s="6" t="b">
        <f>NOT(Revenue_DB[[#This Row],[Discount (%)]]&gt;10)</f>
        <v>0</v>
      </c>
      <c r="O18" s="6" t="str">
        <f>RIGHT(Revenue_DB[[#This Row],[Order ID]],4)</f>
        <v>1017</v>
      </c>
      <c r="P18" s="6" t="str">
        <f>LEFT(Revenue_DB[[#This Row],[Order ID]],3)</f>
        <v>ORD</v>
      </c>
      <c r="Q18" s="6" t="str">
        <f>MID(Revenue_DB[[#This Row],[Order ID]],1,4)</f>
        <v>ORD-</v>
      </c>
      <c r="R18" s="6" t="str">
        <f>UPPER(Revenue_DB[[#This Row],[Category]])</f>
        <v>FURNITURE</v>
      </c>
      <c r="S18" s="6" t="str">
        <f>LOWER(Revenue_DB[[#This Row],[Product]])</f>
        <v>desk lamp</v>
      </c>
      <c r="T18" s="6" t="str">
        <f>PROPER(Revenue_DB[[#This Row],[LOWER]])</f>
        <v>Desk Lamp</v>
      </c>
      <c r="U18" s="6">
        <f>LEN(Revenue_DB[[#This Row],[UPPER]])</f>
        <v>9</v>
      </c>
    </row>
    <row r="19" spans="1:21" ht="15" thickBot="1" x14ac:dyDescent="0.35">
      <c r="A19" s="8" t="s">
        <v>52</v>
      </c>
      <c r="B19" s="10" t="s">
        <v>53</v>
      </c>
      <c r="C19" s="10" t="s">
        <v>45</v>
      </c>
      <c r="D19" s="10" t="s">
        <v>12</v>
      </c>
      <c r="E19" s="10" t="s">
        <v>13</v>
      </c>
      <c r="F19" s="10">
        <v>20</v>
      </c>
      <c r="G19" s="10">
        <v>19.989999999999998</v>
      </c>
      <c r="H19" s="10">
        <v>5</v>
      </c>
      <c r="I19" s="11">
        <v>379.81</v>
      </c>
      <c r="J19" s="53" t="str">
        <f>IF(Revenue_DB[[#This Row],[Units Sold]]&gt;30,"High Sales","Low Sales")</f>
        <v>Low Sales</v>
      </c>
      <c r="K19" s="10" t="b">
        <f>AND(Revenue_DB[[#This Row],[Units Sold]]&gt;30,Revenue_DB[[#This Row],[Total Revenue ($)]]&gt;=1000)</f>
        <v>0</v>
      </c>
      <c r="L19" s="10" t="str">
        <f>IF(Revenue_DB[[#This Row],[AND]],"Best Sales","Worst Sales")</f>
        <v>Worst Sales</v>
      </c>
      <c r="M19" s="10" t="b">
        <f>OR(Revenue_DB[[#This Row],[Units Sold]]&gt;30,Revenue_DB[[#This Row],[Total Revenue ($)]]&gt;=1000)</f>
        <v>0</v>
      </c>
      <c r="N19" s="10" t="b">
        <f>NOT(Revenue_DB[[#This Row],[Discount (%)]]&gt;10)</f>
        <v>1</v>
      </c>
      <c r="O19" s="10" t="str">
        <f>RIGHT(Revenue_DB[[#This Row],[Order ID]],4)</f>
        <v>1018</v>
      </c>
      <c r="P19" s="10" t="str">
        <f>LEFT(Revenue_DB[[#This Row],[Order ID]],3)</f>
        <v>ORD</v>
      </c>
      <c r="Q19" s="10" t="str">
        <f>MID(Revenue_DB[[#This Row],[Order ID]],1,4)</f>
        <v>ORD-</v>
      </c>
      <c r="R19" s="10" t="str">
        <f>UPPER(Revenue_DB[[#This Row],[Category]])</f>
        <v>STATIONERY</v>
      </c>
      <c r="S19" s="10" t="str">
        <f>LOWER(Revenue_DB[[#This Row],[Product]])</f>
        <v>notebook set</v>
      </c>
      <c r="T19" s="10" t="str">
        <f>PROPER(Revenue_DB[[#This Row],[LOWER]])</f>
        <v>Notebook Set</v>
      </c>
      <c r="U19" s="10">
        <f>LEN(Revenue_DB[[#This Row],[UPPER]])</f>
        <v>10</v>
      </c>
    </row>
    <row r="20" spans="1:21" ht="15" thickBot="1" x14ac:dyDescent="0.35">
      <c r="A20" s="5" t="s">
        <v>54</v>
      </c>
      <c r="B20" s="6" t="s">
        <v>55</v>
      </c>
      <c r="C20" s="6" t="s">
        <v>27</v>
      </c>
      <c r="D20" s="6" t="s">
        <v>24</v>
      </c>
      <c r="E20" s="6" t="s">
        <v>13</v>
      </c>
      <c r="F20" s="6">
        <v>28</v>
      </c>
      <c r="G20" s="6">
        <v>14.99</v>
      </c>
      <c r="H20" s="6">
        <v>20</v>
      </c>
      <c r="I20" s="7">
        <v>335.78</v>
      </c>
      <c r="J20" s="54" t="str">
        <f>IF(Revenue_DB[[#This Row],[Units Sold]]&gt;30,"High Sales","Low Sales")</f>
        <v>Low Sales</v>
      </c>
      <c r="K20" s="6" t="b">
        <f>AND(Revenue_DB[[#This Row],[Units Sold]]&gt;30,Revenue_DB[[#This Row],[Total Revenue ($)]]&gt;=1000)</f>
        <v>0</v>
      </c>
      <c r="L20" s="6" t="str">
        <f>IF(Revenue_DB[[#This Row],[AND]],"Best Sales","Worst Sales")</f>
        <v>Worst Sales</v>
      </c>
      <c r="M20" s="6" t="b">
        <f>OR(Revenue_DB[[#This Row],[Units Sold]]&gt;30,Revenue_DB[[#This Row],[Total Revenue ($)]]&gt;=1000)</f>
        <v>0</v>
      </c>
      <c r="N20" s="6" t="b">
        <f>NOT(Revenue_DB[[#This Row],[Discount (%)]]&gt;10)</f>
        <v>0</v>
      </c>
      <c r="O20" s="6" t="str">
        <f>RIGHT(Revenue_DB[[#This Row],[Order ID]],4)</f>
        <v>1019</v>
      </c>
      <c r="P20" s="6" t="str">
        <f>LEFT(Revenue_DB[[#This Row],[Order ID]],3)</f>
        <v>ORD</v>
      </c>
      <c r="Q20" s="6" t="str">
        <f>MID(Revenue_DB[[#This Row],[Order ID]],1,4)</f>
        <v>ORD-</v>
      </c>
      <c r="R20" s="6" t="str">
        <f>UPPER(Revenue_DB[[#This Row],[Category]])</f>
        <v>STATIONERY</v>
      </c>
      <c r="S20" s="6" t="str">
        <f>LOWER(Revenue_DB[[#This Row],[Product]])</f>
        <v>marker set</v>
      </c>
      <c r="T20" s="6" t="str">
        <f>PROPER(Revenue_DB[[#This Row],[LOWER]])</f>
        <v>Marker Set</v>
      </c>
      <c r="U20" s="6">
        <f>LEN(Revenue_DB[[#This Row],[UPPER]])</f>
        <v>10</v>
      </c>
    </row>
    <row r="21" spans="1:21" ht="15" thickBot="1" x14ac:dyDescent="0.35">
      <c r="A21" s="8" t="s">
        <v>56</v>
      </c>
      <c r="B21" s="10" t="s">
        <v>57</v>
      </c>
      <c r="C21" s="10" t="s">
        <v>45</v>
      </c>
      <c r="D21" s="10" t="s">
        <v>58</v>
      </c>
      <c r="E21" s="10" t="s">
        <v>21</v>
      </c>
      <c r="F21" s="10">
        <v>33</v>
      </c>
      <c r="G21" s="10">
        <v>349.99</v>
      </c>
      <c r="H21" s="10">
        <v>15</v>
      </c>
      <c r="I21" s="11">
        <v>9817.2199999999993</v>
      </c>
      <c r="J21" s="53" t="str">
        <f>IF(Revenue_DB[[#This Row],[Units Sold]]&gt;30,"High Sales","Low Sales")</f>
        <v>High Sales</v>
      </c>
      <c r="K21" s="10" t="b">
        <f>AND(Revenue_DB[[#This Row],[Units Sold]]&gt;30,Revenue_DB[[#This Row],[Total Revenue ($)]]&gt;=1000)</f>
        <v>1</v>
      </c>
      <c r="L21" s="10" t="str">
        <f>IF(Revenue_DB[[#This Row],[AND]],"Best Sales","Worst Sales")</f>
        <v>Best Sales</v>
      </c>
      <c r="M21" s="10" t="b">
        <f>OR(Revenue_DB[[#This Row],[Units Sold]]&gt;30,Revenue_DB[[#This Row],[Total Revenue ($)]]&gt;=1000)</f>
        <v>1</v>
      </c>
      <c r="N21" s="10" t="b">
        <f>NOT(Revenue_DB[[#This Row],[Discount (%)]]&gt;10)</f>
        <v>0</v>
      </c>
      <c r="O21" s="10" t="str">
        <f>RIGHT(Revenue_DB[[#This Row],[Order ID]],4)</f>
        <v>1020</v>
      </c>
      <c r="P21" s="10" t="str">
        <f>LEFT(Revenue_DB[[#This Row],[Order ID]],3)</f>
        <v>ORD</v>
      </c>
      <c r="Q21" s="10" t="str">
        <f>MID(Revenue_DB[[#This Row],[Order ID]],1,4)</f>
        <v>ORD-</v>
      </c>
      <c r="R21" s="10" t="str">
        <f>UPPER(Revenue_DB[[#This Row],[Category]])</f>
        <v>FURNITURE</v>
      </c>
      <c r="S21" s="10" t="str">
        <f>LOWER(Revenue_DB[[#This Row],[Product]])</f>
        <v>office chair</v>
      </c>
      <c r="T21" s="10" t="str">
        <f>PROPER(Revenue_DB[[#This Row],[LOWER]])</f>
        <v>Office Chair</v>
      </c>
      <c r="U21" s="10">
        <f>LEN(Revenue_DB[[#This Row],[UPPER]])</f>
        <v>9</v>
      </c>
    </row>
    <row r="22" spans="1:21" ht="15" thickBot="1" x14ac:dyDescent="0.35">
      <c r="A22" s="5"/>
      <c r="B22" s="6" t="s">
        <v>59</v>
      </c>
      <c r="C22" s="6" t="s">
        <v>11</v>
      </c>
      <c r="D22" s="6" t="s">
        <v>58</v>
      </c>
      <c r="E22" s="6" t="s">
        <v>21</v>
      </c>
      <c r="F22" s="6">
        <v>41</v>
      </c>
      <c r="G22" s="6">
        <v>349.99</v>
      </c>
      <c r="H22" s="6">
        <v>5</v>
      </c>
      <c r="I22" s="7">
        <v>13632.11</v>
      </c>
      <c r="J22" s="54" t="str">
        <f>IF(Revenue_DB[[#This Row],[Units Sold]]&gt;30,"High Sales","Low Sales")</f>
        <v>High Sales</v>
      </c>
      <c r="K22" s="6" t="b">
        <f>AND(Revenue_DB[[#This Row],[Units Sold]]&gt;30,Revenue_DB[[#This Row],[Total Revenue ($)]]&gt;=1000)</f>
        <v>1</v>
      </c>
      <c r="L22" s="6" t="str">
        <f>IF(Revenue_DB[[#This Row],[AND]],"Best Sales","Worst Sales")</f>
        <v>Best Sales</v>
      </c>
      <c r="M22" s="6" t="b">
        <f>OR(Revenue_DB[[#This Row],[Units Sold]]&gt;30,Revenue_DB[[#This Row],[Total Revenue ($)]]&gt;=1000)</f>
        <v>1</v>
      </c>
      <c r="N22" s="6" t="b">
        <f>NOT(Revenue_DB[[#This Row],[Discount (%)]]&gt;10)</f>
        <v>1</v>
      </c>
      <c r="O22" s="6" t="str">
        <f>RIGHT(Revenue_DB[[#This Row],[Order ID]],4)</f>
        <v/>
      </c>
      <c r="P22" s="6" t="str">
        <f>LEFT(Revenue_DB[[#This Row],[Order ID]],3)</f>
        <v/>
      </c>
      <c r="Q22" s="6" t="str">
        <f>MID(Revenue_DB[[#This Row],[Order ID]],1,4)</f>
        <v/>
      </c>
      <c r="R22" s="6" t="str">
        <f>UPPER(Revenue_DB[[#This Row],[Category]])</f>
        <v>FURNITURE</v>
      </c>
      <c r="S22" s="6" t="str">
        <f>LOWER(Revenue_DB[[#This Row],[Product]])</f>
        <v>office chair</v>
      </c>
      <c r="T22" s="6" t="str">
        <f>PROPER(Revenue_DB[[#This Row],[LOWER]])</f>
        <v>Office Chair</v>
      </c>
      <c r="U22" s="6">
        <f>LEN(Revenue_DB[[#This Row],[UPPER]])</f>
        <v>9</v>
      </c>
    </row>
    <row r="23" spans="1:21" ht="15" thickBot="1" x14ac:dyDescent="0.35">
      <c r="A23" s="8" t="s">
        <v>60</v>
      </c>
      <c r="B23" s="10" t="s">
        <v>61</v>
      </c>
      <c r="C23" s="10" t="s">
        <v>15</v>
      </c>
      <c r="D23" s="10" t="s">
        <v>16</v>
      </c>
      <c r="E23" s="10" t="s">
        <v>17</v>
      </c>
      <c r="F23" s="10">
        <v>25</v>
      </c>
      <c r="G23" s="10">
        <v>29.99</v>
      </c>
      <c r="H23" s="10">
        <v>15</v>
      </c>
      <c r="I23" s="11">
        <v>637.29</v>
      </c>
      <c r="J23" s="53" t="str">
        <f>IF(Revenue_DB[[#This Row],[Units Sold]]&gt;30,"High Sales","Low Sales")</f>
        <v>Low Sales</v>
      </c>
      <c r="K23" s="10" t="b">
        <f>AND(Revenue_DB[[#This Row],[Units Sold]]&gt;30,Revenue_DB[[#This Row],[Total Revenue ($)]]&gt;=1000)</f>
        <v>0</v>
      </c>
      <c r="L23" s="10" t="str">
        <f>IF(Revenue_DB[[#This Row],[AND]],"Best Sales","Worst Sales")</f>
        <v>Worst Sales</v>
      </c>
      <c r="M23" s="10" t="b">
        <f>OR(Revenue_DB[[#This Row],[Units Sold]]&gt;30,Revenue_DB[[#This Row],[Total Revenue ($)]]&gt;=1000)</f>
        <v>0</v>
      </c>
      <c r="N23" s="10" t="b">
        <f>NOT(Revenue_DB[[#This Row],[Discount (%)]]&gt;10)</f>
        <v>0</v>
      </c>
      <c r="O23" s="10" t="str">
        <f>RIGHT(Revenue_DB[[#This Row],[Order ID]],4)</f>
        <v>1022</v>
      </c>
      <c r="P23" s="10" t="str">
        <f>LEFT(Revenue_DB[[#This Row],[Order ID]],3)</f>
        <v>ORD</v>
      </c>
      <c r="Q23" s="10" t="str">
        <f>MID(Revenue_DB[[#This Row],[Order ID]],1,4)</f>
        <v>ORD-</v>
      </c>
      <c r="R23" s="10" t="str">
        <f>UPPER(Revenue_DB[[#This Row],[Category]])</f>
        <v>ELECTRONICS</v>
      </c>
      <c r="S23" s="10" t="str">
        <f>LOWER(Revenue_DB[[#This Row],[Product]])</f>
        <v>wireless mouse</v>
      </c>
      <c r="T23" s="10" t="str">
        <f>PROPER(Revenue_DB[[#This Row],[LOWER]])</f>
        <v>Wireless Mouse</v>
      </c>
      <c r="U23" s="10">
        <f>LEN(Revenue_DB[[#This Row],[UPPER]])</f>
        <v>11</v>
      </c>
    </row>
    <row r="24" spans="1:21" ht="15" thickBot="1" x14ac:dyDescent="0.35">
      <c r="A24" s="5"/>
      <c r="B24" s="12">
        <v>45302</v>
      </c>
      <c r="C24" s="6" t="s">
        <v>15</v>
      </c>
      <c r="D24" s="6" t="s">
        <v>12</v>
      </c>
      <c r="E24" s="6" t="s">
        <v>13</v>
      </c>
      <c r="F24" s="6">
        <v>36</v>
      </c>
      <c r="G24" s="6">
        <v>19.989999999999998</v>
      </c>
      <c r="H24" s="6">
        <v>0</v>
      </c>
      <c r="I24" s="7">
        <v>719.64</v>
      </c>
      <c r="J24" s="54" t="str">
        <f>IF(Revenue_DB[[#This Row],[Units Sold]]&gt;30,"High Sales","Low Sales")</f>
        <v>High Sales</v>
      </c>
      <c r="K24" s="6" t="b">
        <f>AND(Revenue_DB[[#This Row],[Units Sold]]&gt;30,Revenue_DB[[#This Row],[Total Revenue ($)]]&gt;=1000)</f>
        <v>0</v>
      </c>
      <c r="L24" s="6" t="str">
        <f>IF(Revenue_DB[[#This Row],[AND]],"Best Sales","Worst Sales")</f>
        <v>Worst Sales</v>
      </c>
      <c r="M24" s="6" t="b">
        <f>OR(Revenue_DB[[#This Row],[Units Sold]]&gt;30,Revenue_DB[[#This Row],[Total Revenue ($)]]&gt;=1000)</f>
        <v>1</v>
      </c>
      <c r="N24" s="6" t="b">
        <f>NOT(Revenue_DB[[#This Row],[Discount (%)]]&gt;10)</f>
        <v>1</v>
      </c>
      <c r="O24" s="6" t="str">
        <f>RIGHT(Revenue_DB[[#This Row],[Order ID]],4)</f>
        <v/>
      </c>
      <c r="P24" s="6" t="str">
        <f>LEFT(Revenue_DB[[#This Row],[Order ID]],3)</f>
        <v/>
      </c>
      <c r="Q24" s="6" t="str">
        <f>MID(Revenue_DB[[#This Row],[Order ID]],1,4)</f>
        <v/>
      </c>
      <c r="R24" s="6" t="str">
        <f>UPPER(Revenue_DB[[#This Row],[Category]])</f>
        <v>STATIONERY</v>
      </c>
      <c r="S24" s="6" t="str">
        <f>LOWER(Revenue_DB[[#This Row],[Product]])</f>
        <v>notebook set</v>
      </c>
      <c r="T24" s="6" t="str">
        <f>PROPER(Revenue_DB[[#This Row],[LOWER]])</f>
        <v>Notebook Set</v>
      </c>
      <c r="U24" s="6">
        <f>LEN(Revenue_DB[[#This Row],[UPPER]])</f>
        <v>10</v>
      </c>
    </row>
    <row r="25" spans="1:21" ht="15" thickBot="1" x14ac:dyDescent="0.35">
      <c r="A25" s="8" t="s">
        <v>62</v>
      </c>
      <c r="B25" s="10" t="s">
        <v>61</v>
      </c>
      <c r="C25" s="10" t="s">
        <v>15</v>
      </c>
      <c r="D25" s="10" t="s">
        <v>12</v>
      </c>
      <c r="E25" s="10" t="s">
        <v>13</v>
      </c>
      <c r="F25" s="10">
        <v>50</v>
      </c>
      <c r="G25" s="10">
        <v>19.989999999999998</v>
      </c>
      <c r="H25" s="10">
        <v>10</v>
      </c>
      <c r="I25" s="11">
        <v>899.55</v>
      </c>
      <c r="J25" s="53" t="str">
        <f>IF(Revenue_DB[[#This Row],[Units Sold]]&gt;30,"High Sales","Low Sales")</f>
        <v>High Sales</v>
      </c>
      <c r="K25" s="10" t="b">
        <f>AND(Revenue_DB[[#This Row],[Units Sold]]&gt;30,Revenue_DB[[#This Row],[Total Revenue ($)]]&gt;=1000)</f>
        <v>0</v>
      </c>
      <c r="L25" s="10" t="str">
        <f>IF(Revenue_DB[[#This Row],[AND]],"Best Sales","Worst Sales")</f>
        <v>Worst Sales</v>
      </c>
      <c r="M25" s="10" t="b">
        <f>OR(Revenue_DB[[#This Row],[Units Sold]]&gt;30,Revenue_DB[[#This Row],[Total Revenue ($)]]&gt;=1000)</f>
        <v>1</v>
      </c>
      <c r="N25" s="10" t="b">
        <f>NOT(Revenue_DB[[#This Row],[Discount (%)]]&gt;10)</f>
        <v>1</v>
      </c>
      <c r="O25" s="10" t="str">
        <f>RIGHT(Revenue_DB[[#This Row],[Order ID]],4)</f>
        <v>1024</v>
      </c>
      <c r="P25" s="10" t="str">
        <f>LEFT(Revenue_DB[[#This Row],[Order ID]],3)</f>
        <v>ORD</v>
      </c>
      <c r="Q25" s="10" t="str">
        <f>MID(Revenue_DB[[#This Row],[Order ID]],1,4)</f>
        <v>ORD-</v>
      </c>
      <c r="R25" s="10" t="str">
        <f>UPPER(Revenue_DB[[#This Row],[Category]])</f>
        <v>STATIONERY</v>
      </c>
      <c r="S25" s="10" t="str">
        <f>LOWER(Revenue_DB[[#This Row],[Product]])</f>
        <v>notebook set</v>
      </c>
      <c r="T25" s="10" t="str">
        <f>PROPER(Revenue_DB[[#This Row],[LOWER]])</f>
        <v>Notebook Set</v>
      </c>
      <c r="U25" s="10">
        <f>LEN(Revenue_DB[[#This Row],[UPPER]])</f>
        <v>10</v>
      </c>
    </row>
    <row r="26" spans="1:21" ht="15" thickBot="1" x14ac:dyDescent="0.35">
      <c r="A26" s="5" t="s">
        <v>63</v>
      </c>
      <c r="B26" s="6" t="s">
        <v>64</v>
      </c>
      <c r="C26" s="6" t="s">
        <v>23</v>
      </c>
      <c r="D26" s="6" t="s">
        <v>58</v>
      </c>
      <c r="E26" s="6" t="s">
        <v>21</v>
      </c>
      <c r="F26" s="6">
        <v>30</v>
      </c>
      <c r="G26" s="6">
        <v>349.99</v>
      </c>
      <c r="H26" s="6">
        <v>0</v>
      </c>
      <c r="I26" s="7">
        <v>10499.7</v>
      </c>
      <c r="J26" s="54" t="str">
        <f>IF(Revenue_DB[[#This Row],[Units Sold]]&gt;30,"High Sales","Low Sales")</f>
        <v>Low Sales</v>
      </c>
      <c r="K26" s="6" t="b">
        <f>AND(Revenue_DB[[#This Row],[Units Sold]]&gt;30,Revenue_DB[[#This Row],[Total Revenue ($)]]&gt;=1000)</f>
        <v>0</v>
      </c>
      <c r="L26" s="6" t="str">
        <f>IF(Revenue_DB[[#This Row],[AND]],"Best Sales","Worst Sales")</f>
        <v>Worst Sales</v>
      </c>
      <c r="M26" s="6" t="b">
        <f>OR(Revenue_DB[[#This Row],[Units Sold]]&gt;30,Revenue_DB[[#This Row],[Total Revenue ($)]]&gt;=1000)</f>
        <v>1</v>
      </c>
      <c r="N26" s="6" t="b">
        <f>NOT(Revenue_DB[[#This Row],[Discount (%)]]&gt;10)</f>
        <v>1</v>
      </c>
      <c r="O26" s="6" t="str">
        <f>RIGHT(Revenue_DB[[#This Row],[Order ID]],4)</f>
        <v>1025</v>
      </c>
      <c r="P26" s="6" t="str">
        <f>LEFT(Revenue_DB[[#This Row],[Order ID]],3)</f>
        <v>ORD</v>
      </c>
      <c r="Q26" s="6" t="str">
        <f>MID(Revenue_DB[[#This Row],[Order ID]],1,4)</f>
        <v>ORD-</v>
      </c>
      <c r="R26" s="6" t="str">
        <f>UPPER(Revenue_DB[[#This Row],[Category]])</f>
        <v>FURNITURE</v>
      </c>
      <c r="S26" s="6" t="str">
        <f>LOWER(Revenue_DB[[#This Row],[Product]])</f>
        <v>office chair</v>
      </c>
      <c r="T26" s="6" t="str">
        <f>PROPER(Revenue_DB[[#This Row],[LOWER]])</f>
        <v>Office Chair</v>
      </c>
      <c r="U26" s="6">
        <f>LEN(Revenue_DB[[#This Row],[UPPER]])</f>
        <v>9</v>
      </c>
    </row>
    <row r="27" spans="1:21" ht="15" thickBot="1" x14ac:dyDescent="0.35">
      <c r="A27" s="8" t="s">
        <v>65</v>
      </c>
      <c r="B27" s="10" t="s">
        <v>66</v>
      </c>
      <c r="C27" s="10" t="s">
        <v>45</v>
      </c>
      <c r="D27" s="10" t="s">
        <v>67</v>
      </c>
      <c r="E27" s="10" t="s">
        <v>21</v>
      </c>
      <c r="F27" s="10">
        <v>22</v>
      </c>
      <c r="G27" s="10">
        <v>199.99</v>
      </c>
      <c r="H27" s="10">
        <v>10</v>
      </c>
      <c r="I27" s="11">
        <v>3959.8</v>
      </c>
      <c r="J27" s="53" t="str">
        <f>IF(Revenue_DB[[#This Row],[Units Sold]]&gt;30,"High Sales","Low Sales")</f>
        <v>Low Sales</v>
      </c>
      <c r="K27" s="10" t="b">
        <f>AND(Revenue_DB[[#This Row],[Units Sold]]&gt;30,Revenue_DB[[#This Row],[Total Revenue ($)]]&gt;=1000)</f>
        <v>0</v>
      </c>
      <c r="L27" s="10" t="str">
        <f>IF(Revenue_DB[[#This Row],[AND]],"Best Sales","Worst Sales")</f>
        <v>Worst Sales</v>
      </c>
      <c r="M27" s="10" t="b">
        <f>OR(Revenue_DB[[#This Row],[Units Sold]]&gt;30,Revenue_DB[[#This Row],[Total Revenue ($)]]&gt;=1000)</f>
        <v>1</v>
      </c>
      <c r="N27" s="10" t="b">
        <f>NOT(Revenue_DB[[#This Row],[Discount (%)]]&gt;10)</f>
        <v>1</v>
      </c>
      <c r="O27" s="10" t="str">
        <f>RIGHT(Revenue_DB[[#This Row],[Order ID]],4)</f>
        <v>1026</v>
      </c>
      <c r="P27" s="10" t="str">
        <f>LEFT(Revenue_DB[[#This Row],[Order ID]],3)</f>
        <v>ORD</v>
      </c>
      <c r="Q27" s="10" t="str">
        <f>MID(Revenue_DB[[#This Row],[Order ID]],1,4)</f>
        <v>ORD-</v>
      </c>
      <c r="R27" s="10" t="str">
        <f>UPPER(Revenue_DB[[#This Row],[Category]])</f>
        <v>FURNITURE</v>
      </c>
      <c r="S27" s="10" t="str">
        <f>LOWER(Revenue_DB[[#This Row],[Product]])</f>
        <v>filing cabinet</v>
      </c>
      <c r="T27" s="10" t="str">
        <f>PROPER(Revenue_DB[[#This Row],[LOWER]])</f>
        <v>Filing Cabinet</v>
      </c>
      <c r="U27" s="10">
        <f>LEN(Revenue_DB[[#This Row],[UPPER]])</f>
        <v>9</v>
      </c>
    </row>
    <row r="28" spans="1:21" ht="15" thickBot="1" x14ac:dyDescent="0.35">
      <c r="A28" s="5" t="s">
        <v>68</v>
      </c>
      <c r="B28" s="6" t="s">
        <v>10</v>
      </c>
      <c r="C28" s="6" t="s">
        <v>15</v>
      </c>
      <c r="D28" s="6" t="s">
        <v>20</v>
      </c>
      <c r="E28" s="6" t="s">
        <v>21</v>
      </c>
      <c r="F28" s="6">
        <v>10</v>
      </c>
      <c r="G28" s="6">
        <v>49.99</v>
      </c>
      <c r="H28" s="6">
        <v>10</v>
      </c>
      <c r="I28" s="7">
        <v>449.91</v>
      </c>
      <c r="J28" s="54" t="str">
        <f>IF(Revenue_DB[[#This Row],[Units Sold]]&gt;30,"High Sales","Low Sales")</f>
        <v>Low Sales</v>
      </c>
      <c r="K28" s="6" t="b">
        <f>AND(Revenue_DB[[#This Row],[Units Sold]]&gt;30,Revenue_DB[[#This Row],[Total Revenue ($)]]&gt;=1000)</f>
        <v>0</v>
      </c>
      <c r="L28" s="6" t="str">
        <f>IF(Revenue_DB[[#This Row],[AND]],"Best Sales","Worst Sales")</f>
        <v>Worst Sales</v>
      </c>
      <c r="M28" s="6" t="b">
        <f>OR(Revenue_DB[[#This Row],[Units Sold]]&gt;30,Revenue_DB[[#This Row],[Total Revenue ($)]]&gt;=1000)</f>
        <v>0</v>
      </c>
      <c r="N28" s="6" t="b">
        <f>NOT(Revenue_DB[[#This Row],[Discount (%)]]&gt;10)</f>
        <v>1</v>
      </c>
      <c r="O28" s="6" t="str">
        <f>RIGHT(Revenue_DB[[#This Row],[Order ID]],4)</f>
        <v>1027</v>
      </c>
      <c r="P28" s="6" t="str">
        <f>LEFT(Revenue_DB[[#This Row],[Order ID]],3)</f>
        <v>ORD</v>
      </c>
      <c r="Q28" s="6" t="str">
        <f>MID(Revenue_DB[[#This Row],[Order ID]],1,4)</f>
        <v>ORD-</v>
      </c>
      <c r="R28" s="6" t="str">
        <f>UPPER(Revenue_DB[[#This Row],[Category]])</f>
        <v>FURNITURE</v>
      </c>
      <c r="S28" s="6" t="str">
        <f>LOWER(Revenue_DB[[#This Row],[Product]])</f>
        <v>desk lamp</v>
      </c>
      <c r="T28" s="6" t="str">
        <f>PROPER(Revenue_DB[[#This Row],[LOWER]])</f>
        <v>Desk Lamp</v>
      </c>
      <c r="U28" s="6">
        <f>LEN(Revenue_DB[[#This Row],[UPPER]])</f>
        <v>9</v>
      </c>
    </row>
    <row r="29" spans="1:21" ht="15" thickBot="1" x14ac:dyDescent="0.35">
      <c r="A29" s="8" t="s">
        <v>69</v>
      </c>
      <c r="B29" s="10" t="s">
        <v>70</v>
      </c>
      <c r="C29" s="10" t="s">
        <v>15</v>
      </c>
      <c r="D29" s="10" t="s">
        <v>33</v>
      </c>
      <c r="E29" s="10" t="s">
        <v>17</v>
      </c>
      <c r="F29" s="10">
        <v>39</v>
      </c>
      <c r="G29" s="10">
        <v>1299.99</v>
      </c>
      <c r="H29" s="10">
        <v>10</v>
      </c>
      <c r="I29" s="11">
        <v>45629.65</v>
      </c>
      <c r="J29" s="53" t="str">
        <f>IF(Revenue_DB[[#This Row],[Units Sold]]&gt;30,"High Sales","Low Sales")</f>
        <v>High Sales</v>
      </c>
      <c r="K29" s="10" t="b">
        <f>AND(Revenue_DB[[#This Row],[Units Sold]]&gt;30,Revenue_DB[[#This Row],[Total Revenue ($)]]&gt;=1000)</f>
        <v>1</v>
      </c>
      <c r="L29" s="10" t="str">
        <f>IF(Revenue_DB[[#This Row],[AND]],"Best Sales","Worst Sales")</f>
        <v>Best Sales</v>
      </c>
      <c r="M29" s="10" t="b">
        <f>OR(Revenue_DB[[#This Row],[Units Sold]]&gt;30,Revenue_DB[[#This Row],[Total Revenue ($)]]&gt;=1000)</f>
        <v>1</v>
      </c>
      <c r="N29" s="10" t="b">
        <f>NOT(Revenue_DB[[#This Row],[Discount (%)]]&gt;10)</f>
        <v>1</v>
      </c>
      <c r="O29" s="10" t="str">
        <f>RIGHT(Revenue_DB[[#This Row],[Order ID]],4)</f>
        <v>1028</v>
      </c>
      <c r="P29" s="10" t="str">
        <f>LEFT(Revenue_DB[[#This Row],[Order ID]],3)</f>
        <v>ORD</v>
      </c>
      <c r="Q29" s="10" t="str">
        <f>MID(Revenue_DB[[#This Row],[Order ID]],1,4)</f>
        <v>ORD-</v>
      </c>
      <c r="R29" s="10" t="str">
        <f>UPPER(Revenue_DB[[#This Row],[Category]])</f>
        <v>ELECTRONICS</v>
      </c>
      <c r="S29" s="10" t="str">
        <f>LOWER(Revenue_DB[[#This Row],[Product]])</f>
        <v>laptop pro</v>
      </c>
      <c r="T29" s="10" t="str">
        <f>PROPER(Revenue_DB[[#This Row],[LOWER]])</f>
        <v>Laptop Pro</v>
      </c>
      <c r="U29" s="10">
        <f>LEN(Revenue_DB[[#This Row],[UPPER]])</f>
        <v>11</v>
      </c>
    </row>
    <row r="30" spans="1:21" ht="15" thickBot="1" x14ac:dyDescent="0.35">
      <c r="A30" s="5" t="s">
        <v>71</v>
      </c>
      <c r="B30" s="12">
        <v>45482</v>
      </c>
      <c r="C30" s="6" t="s">
        <v>11</v>
      </c>
      <c r="D30" s="6" t="s">
        <v>40</v>
      </c>
      <c r="E30" s="6" t="s">
        <v>13</v>
      </c>
      <c r="F30" s="6">
        <v>20</v>
      </c>
      <c r="G30" s="6">
        <v>9.99</v>
      </c>
      <c r="H30" s="6">
        <v>5</v>
      </c>
      <c r="I30" s="7">
        <v>189.81</v>
      </c>
      <c r="J30" s="54" t="str">
        <f>IF(Revenue_DB[[#This Row],[Units Sold]]&gt;30,"High Sales","Low Sales")</f>
        <v>Low Sales</v>
      </c>
      <c r="K30" s="6" t="b">
        <f>AND(Revenue_DB[[#This Row],[Units Sold]]&gt;30,Revenue_DB[[#This Row],[Total Revenue ($)]]&gt;=1000)</f>
        <v>0</v>
      </c>
      <c r="L30" s="6" t="str">
        <f>IF(Revenue_DB[[#This Row],[AND]],"Best Sales","Worst Sales")</f>
        <v>Worst Sales</v>
      </c>
      <c r="M30" s="6" t="b">
        <f>OR(Revenue_DB[[#This Row],[Units Sold]]&gt;30,Revenue_DB[[#This Row],[Total Revenue ($)]]&gt;=1000)</f>
        <v>0</v>
      </c>
      <c r="N30" s="6" t="b">
        <f>NOT(Revenue_DB[[#This Row],[Discount (%)]]&gt;10)</f>
        <v>1</v>
      </c>
      <c r="O30" s="6" t="str">
        <f>RIGHT(Revenue_DB[[#This Row],[Order ID]],4)</f>
        <v>1029</v>
      </c>
      <c r="P30" s="6" t="str">
        <f>LEFT(Revenue_DB[[#This Row],[Order ID]],3)</f>
        <v>ORD</v>
      </c>
      <c r="Q30" s="6" t="str">
        <f>MID(Revenue_DB[[#This Row],[Order ID]],1,4)</f>
        <v>ORD-</v>
      </c>
      <c r="R30" s="6" t="str">
        <f>UPPER(Revenue_DB[[#This Row],[Category]])</f>
        <v>STATIONERY</v>
      </c>
      <c r="S30" s="6" t="str">
        <f>LOWER(Revenue_DB[[#This Row],[Product]])</f>
        <v>pen pack</v>
      </c>
      <c r="T30" s="6" t="str">
        <f>PROPER(Revenue_DB[[#This Row],[LOWER]])</f>
        <v>Pen Pack</v>
      </c>
      <c r="U30" s="6">
        <f>LEN(Revenue_DB[[#This Row],[UPPER]])</f>
        <v>10</v>
      </c>
    </row>
    <row r="31" spans="1:21" ht="15" thickBot="1" x14ac:dyDescent="0.35">
      <c r="A31" s="8"/>
      <c r="B31" s="10" t="s">
        <v>72</v>
      </c>
      <c r="C31" s="10" t="s">
        <v>15</v>
      </c>
      <c r="D31" s="10" t="s">
        <v>16</v>
      </c>
      <c r="E31" s="10" t="s">
        <v>17</v>
      </c>
      <c r="F31" s="10">
        <v>34</v>
      </c>
      <c r="G31" s="10">
        <v>29.99</v>
      </c>
      <c r="H31" s="10">
        <v>15</v>
      </c>
      <c r="I31" s="11">
        <v>866.71</v>
      </c>
      <c r="J31" s="53" t="str">
        <f>IF(Revenue_DB[[#This Row],[Units Sold]]&gt;30,"High Sales","Low Sales")</f>
        <v>High Sales</v>
      </c>
      <c r="K31" s="10" t="b">
        <f>AND(Revenue_DB[[#This Row],[Units Sold]]&gt;30,Revenue_DB[[#This Row],[Total Revenue ($)]]&gt;=1000)</f>
        <v>0</v>
      </c>
      <c r="L31" s="10" t="str">
        <f>IF(Revenue_DB[[#This Row],[AND]],"Best Sales","Worst Sales")</f>
        <v>Worst Sales</v>
      </c>
      <c r="M31" s="10" t="b">
        <f>OR(Revenue_DB[[#This Row],[Units Sold]]&gt;30,Revenue_DB[[#This Row],[Total Revenue ($)]]&gt;=1000)</f>
        <v>1</v>
      </c>
      <c r="N31" s="10" t="b">
        <f>NOT(Revenue_DB[[#This Row],[Discount (%)]]&gt;10)</f>
        <v>0</v>
      </c>
      <c r="O31" s="10" t="str">
        <f>RIGHT(Revenue_DB[[#This Row],[Order ID]],4)</f>
        <v/>
      </c>
      <c r="P31" s="10" t="str">
        <f>LEFT(Revenue_DB[[#This Row],[Order ID]],3)</f>
        <v/>
      </c>
      <c r="Q31" s="10" t="str">
        <f>MID(Revenue_DB[[#This Row],[Order ID]],1,4)</f>
        <v/>
      </c>
      <c r="R31" s="10" t="str">
        <f>UPPER(Revenue_DB[[#This Row],[Category]])</f>
        <v>ELECTRONICS</v>
      </c>
      <c r="S31" s="10" t="str">
        <f>LOWER(Revenue_DB[[#This Row],[Product]])</f>
        <v>wireless mouse</v>
      </c>
      <c r="T31" s="10" t="str">
        <f>PROPER(Revenue_DB[[#This Row],[LOWER]])</f>
        <v>Wireless Mouse</v>
      </c>
      <c r="U31" s="10">
        <f>LEN(Revenue_DB[[#This Row],[UPPER]])</f>
        <v>11</v>
      </c>
    </row>
    <row r="32" spans="1:21" ht="15" thickBot="1" x14ac:dyDescent="0.35">
      <c r="A32" s="5" t="s">
        <v>73</v>
      </c>
      <c r="B32" s="12">
        <v>45414</v>
      </c>
      <c r="C32" s="6" t="s">
        <v>45</v>
      </c>
      <c r="D32" s="6" t="s">
        <v>58</v>
      </c>
      <c r="E32" s="6" t="s">
        <v>21</v>
      </c>
      <c r="F32" s="6">
        <v>43</v>
      </c>
      <c r="G32" s="6">
        <v>349.99</v>
      </c>
      <c r="H32" s="6">
        <v>15</v>
      </c>
      <c r="I32" s="7">
        <v>12792.13</v>
      </c>
      <c r="J32" s="54" t="str">
        <f>IF(Revenue_DB[[#This Row],[Units Sold]]&gt;30,"High Sales","Low Sales")</f>
        <v>High Sales</v>
      </c>
      <c r="K32" s="6" t="b">
        <f>AND(Revenue_DB[[#This Row],[Units Sold]]&gt;30,Revenue_DB[[#This Row],[Total Revenue ($)]]&gt;=1000)</f>
        <v>1</v>
      </c>
      <c r="L32" s="6" t="str">
        <f>IF(Revenue_DB[[#This Row],[AND]],"Best Sales","Worst Sales")</f>
        <v>Best Sales</v>
      </c>
      <c r="M32" s="6" t="b">
        <f>OR(Revenue_DB[[#This Row],[Units Sold]]&gt;30,Revenue_DB[[#This Row],[Total Revenue ($)]]&gt;=1000)</f>
        <v>1</v>
      </c>
      <c r="N32" s="6" t="b">
        <f>NOT(Revenue_DB[[#This Row],[Discount (%)]]&gt;10)</f>
        <v>0</v>
      </c>
      <c r="O32" s="6" t="str">
        <f>RIGHT(Revenue_DB[[#This Row],[Order ID]],4)</f>
        <v>1031</v>
      </c>
      <c r="P32" s="6" t="str">
        <f>LEFT(Revenue_DB[[#This Row],[Order ID]],3)</f>
        <v>ORD</v>
      </c>
      <c r="Q32" s="6" t="str">
        <f>MID(Revenue_DB[[#This Row],[Order ID]],1,4)</f>
        <v>ORD-</v>
      </c>
      <c r="R32" s="6" t="str">
        <f>UPPER(Revenue_DB[[#This Row],[Category]])</f>
        <v>FURNITURE</v>
      </c>
      <c r="S32" s="6" t="str">
        <f>LOWER(Revenue_DB[[#This Row],[Product]])</f>
        <v>office chair</v>
      </c>
      <c r="T32" s="6" t="str">
        <f>PROPER(Revenue_DB[[#This Row],[LOWER]])</f>
        <v>Office Chair</v>
      </c>
      <c r="U32" s="6">
        <f>LEN(Revenue_DB[[#This Row],[UPPER]])</f>
        <v>9</v>
      </c>
    </row>
    <row r="33" spans="1:21" ht="15" thickBot="1" x14ac:dyDescent="0.35">
      <c r="A33" s="8" t="s">
        <v>74</v>
      </c>
      <c r="B33" s="9">
        <v>45514</v>
      </c>
      <c r="C33" s="10" t="s">
        <v>27</v>
      </c>
      <c r="D33" s="10" t="s">
        <v>67</v>
      </c>
      <c r="E33" s="10" t="s">
        <v>21</v>
      </c>
      <c r="F33" s="10">
        <v>39</v>
      </c>
      <c r="G33" s="10">
        <v>199.99</v>
      </c>
      <c r="H33" s="10">
        <v>15</v>
      </c>
      <c r="I33" s="11">
        <v>6629.67</v>
      </c>
      <c r="J33" s="53" t="str">
        <f>IF(Revenue_DB[[#This Row],[Units Sold]]&gt;30,"High Sales","Low Sales")</f>
        <v>High Sales</v>
      </c>
      <c r="K33" s="10" t="b">
        <f>AND(Revenue_DB[[#This Row],[Units Sold]]&gt;30,Revenue_DB[[#This Row],[Total Revenue ($)]]&gt;=1000)</f>
        <v>1</v>
      </c>
      <c r="L33" s="10" t="str">
        <f>IF(Revenue_DB[[#This Row],[AND]],"Best Sales","Worst Sales")</f>
        <v>Best Sales</v>
      </c>
      <c r="M33" s="10" t="b">
        <f>OR(Revenue_DB[[#This Row],[Units Sold]]&gt;30,Revenue_DB[[#This Row],[Total Revenue ($)]]&gt;=1000)</f>
        <v>1</v>
      </c>
      <c r="N33" s="10" t="b">
        <f>NOT(Revenue_DB[[#This Row],[Discount (%)]]&gt;10)</f>
        <v>0</v>
      </c>
      <c r="O33" s="10" t="str">
        <f>RIGHT(Revenue_DB[[#This Row],[Order ID]],4)</f>
        <v>1032</v>
      </c>
      <c r="P33" s="10" t="str">
        <f>LEFT(Revenue_DB[[#This Row],[Order ID]],3)</f>
        <v>ORD</v>
      </c>
      <c r="Q33" s="10" t="str">
        <f>MID(Revenue_DB[[#This Row],[Order ID]],1,4)</f>
        <v>ORD-</v>
      </c>
      <c r="R33" s="10" t="str">
        <f>UPPER(Revenue_DB[[#This Row],[Category]])</f>
        <v>FURNITURE</v>
      </c>
      <c r="S33" s="10" t="str">
        <f>LOWER(Revenue_DB[[#This Row],[Product]])</f>
        <v>filing cabinet</v>
      </c>
      <c r="T33" s="10" t="str">
        <f>PROPER(Revenue_DB[[#This Row],[LOWER]])</f>
        <v>Filing Cabinet</v>
      </c>
      <c r="U33" s="10">
        <f>LEN(Revenue_DB[[#This Row],[UPPER]])</f>
        <v>9</v>
      </c>
    </row>
    <row r="34" spans="1:21" ht="15" thickBot="1" x14ac:dyDescent="0.35">
      <c r="A34" s="5" t="s">
        <v>75</v>
      </c>
      <c r="B34" s="6" t="s">
        <v>51</v>
      </c>
      <c r="C34" s="6" t="s">
        <v>45</v>
      </c>
      <c r="D34" s="6" t="s">
        <v>12</v>
      </c>
      <c r="E34" s="6" t="s">
        <v>13</v>
      </c>
      <c r="F34" s="6">
        <v>11</v>
      </c>
      <c r="G34" s="6">
        <v>19.989999999999998</v>
      </c>
      <c r="H34" s="6">
        <v>10</v>
      </c>
      <c r="I34" s="7">
        <v>197.9</v>
      </c>
      <c r="J34" s="54" t="str">
        <f>IF(Revenue_DB[[#This Row],[Units Sold]]&gt;30,"High Sales","Low Sales")</f>
        <v>Low Sales</v>
      </c>
      <c r="K34" s="6" t="b">
        <f>AND(Revenue_DB[[#This Row],[Units Sold]]&gt;30,Revenue_DB[[#This Row],[Total Revenue ($)]]&gt;=1000)</f>
        <v>0</v>
      </c>
      <c r="L34" s="6" t="str">
        <f>IF(Revenue_DB[[#This Row],[AND]],"Best Sales","Worst Sales")</f>
        <v>Worst Sales</v>
      </c>
      <c r="M34" s="6" t="b">
        <f>OR(Revenue_DB[[#This Row],[Units Sold]]&gt;30,Revenue_DB[[#This Row],[Total Revenue ($)]]&gt;=1000)</f>
        <v>0</v>
      </c>
      <c r="N34" s="6" t="b">
        <f>NOT(Revenue_DB[[#This Row],[Discount (%)]]&gt;10)</f>
        <v>1</v>
      </c>
      <c r="O34" s="6" t="str">
        <f>RIGHT(Revenue_DB[[#This Row],[Order ID]],4)</f>
        <v>1033</v>
      </c>
      <c r="P34" s="6" t="str">
        <f>LEFT(Revenue_DB[[#This Row],[Order ID]],3)</f>
        <v>ORD</v>
      </c>
      <c r="Q34" s="6" t="str">
        <f>MID(Revenue_DB[[#This Row],[Order ID]],1,4)</f>
        <v>ORD-</v>
      </c>
      <c r="R34" s="6" t="str">
        <f>UPPER(Revenue_DB[[#This Row],[Category]])</f>
        <v>STATIONERY</v>
      </c>
      <c r="S34" s="6" t="str">
        <f>LOWER(Revenue_DB[[#This Row],[Product]])</f>
        <v>notebook set</v>
      </c>
      <c r="T34" s="6" t="str">
        <f>PROPER(Revenue_DB[[#This Row],[LOWER]])</f>
        <v>Notebook Set</v>
      </c>
      <c r="U34" s="6">
        <f>LEN(Revenue_DB[[#This Row],[UPPER]])</f>
        <v>10</v>
      </c>
    </row>
    <row r="35" spans="1:21" ht="15" thickBot="1" x14ac:dyDescent="0.35">
      <c r="A35" s="8" t="s">
        <v>76</v>
      </c>
      <c r="B35" s="9">
        <v>45634</v>
      </c>
      <c r="C35" s="10" t="s">
        <v>23</v>
      </c>
      <c r="D35" s="10" t="s">
        <v>16</v>
      </c>
      <c r="E35" s="10" t="s">
        <v>17</v>
      </c>
      <c r="F35" s="10">
        <v>16</v>
      </c>
      <c r="G35" s="10">
        <v>29.99</v>
      </c>
      <c r="H35" s="10">
        <v>5</v>
      </c>
      <c r="I35" s="11">
        <v>455.85</v>
      </c>
      <c r="J35" s="53" t="str">
        <f>IF(Revenue_DB[[#This Row],[Units Sold]]&gt;30,"High Sales","Low Sales")</f>
        <v>Low Sales</v>
      </c>
      <c r="K35" s="10" t="b">
        <f>AND(Revenue_DB[[#This Row],[Units Sold]]&gt;30,Revenue_DB[[#This Row],[Total Revenue ($)]]&gt;=1000)</f>
        <v>0</v>
      </c>
      <c r="L35" s="10" t="str">
        <f>IF(Revenue_DB[[#This Row],[AND]],"Best Sales","Worst Sales")</f>
        <v>Worst Sales</v>
      </c>
      <c r="M35" s="10" t="b">
        <f>OR(Revenue_DB[[#This Row],[Units Sold]]&gt;30,Revenue_DB[[#This Row],[Total Revenue ($)]]&gt;=1000)</f>
        <v>0</v>
      </c>
      <c r="N35" s="10" t="b">
        <f>NOT(Revenue_DB[[#This Row],[Discount (%)]]&gt;10)</f>
        <v>1</v>
      </c>
      <c r="O35" s="10" t="str">
        <f>RIGHT(Revenue_DB[[#This Row],[Order ID]],4)</f>
        <v>1034</v>
      </c>
      <c r="P35" s="10" t="str">
        <f>LEFT(Revenue_DB[[#This Row],[Order ID]],3)</f>
        <v>ORD</v>
      </c>
      <c r="Q35" s="10" t="str">
        <f>MID(Revenue_DB[[#This Row],[Order ID]],1,4)</f>
        <v>ORD-</v>
      </c>
      <c r="R35" s="10" t="str">
        <f>UPPER(Revenue_DB[[#This Row],[Category]])</f>
        <v>ELECTRONICS</v>
      </c>
      <c r="S35" s="10" t="str">
        <f>LOWER(Revenue_DB[[#This Row],[Product]])</f>
        <v>wireless mouse</v>
      </c>
      <c r="T35" s="10" t="str">
        <f>PROPER(Revenue_DB[[#This Row],[LOWER]])</f>
        <v>Wireless Mouse</v>
      </c>
      <c r="U35" s="10">
        <f>LEN(Revenue_DB[[#This Row],[UPPER]])</f>
        <v>11</v>
      </c>
    </row>
    <row r="36" spans="1:21" ht="15" thickBot="1" x14ac:dyDescent="0.35">
      <c r="A36" s="5" t="s">
        <v>77</v>
      </c>
      <c r="B36" s="12">
        <v>45324</v>
      </c>
      <c r="C36" s="6" t="s">
        <v>11</v>
      </c>
      <c r="D36" s="6" t="s">
        <v>24</v>
      </c>
      <c r="E36" s="6" t="s">
        <v>13</v>
      </c>
      <c r="F36" s="6">
        <v>36</v>
      </c>
      <c r="G36" s="6">
        <v>14.99</v>
      </c>
      <c r="H36" s="6">
        <v>5</v>
      </c>
      <c r="I36" s="7">
        <v>512.66</v>
      </c>
      <c r="J36" s="54" t="str">
        <f>IF(Revenue_DB[[#This Row],[Units Sold]]&gt;30,"High Sales","Low Sales")</f>
        <v>High Sales</v>
      </c>
      <c r="K36" s="6" t="b">
        <f>AND(Revenue_DB[[#This Row],[Units Sold]]&gt;30,Revenue_DB[[#This Row],[Total Revenue ($)]]&gt;=1000)</f>
        <v>0</v>
      </c>
      <c r="L36" s="6" t="str">
        <f>IF(Revenue_DB[[#This Row],[AND]],"Best Sales","Worst Sales")</f>
        <v>Worst Sales</v>
      </c>
      <c r="M36" s="6" t="b">
        <f>OR(Revenue_DB[[#This Row],[Units Sold]]&gt;30,Revenue_DB[[#This Row],[Total Revenue ($)]]&gt;=1000)</f>
        <v>1</v>
      </c>
      <c r="N36" s="6" t="b">
        <f>NOT(Revenue_DB[[#This Row],[Discount (%)]]&gt;10)</f>
        <v>1</v>
      </c>
      <c r="O36" s="6" t="str">
        <f>RIGHT(Revenue_DB[[#This Row],[Order ID]],4)</f>
        <v>1035</v>
      </c>
      <c r="P36" s="6" t="str">
        <f>LEFT(Revenue_DB[[#This Row],[Order ID]],3)</f>
        <v>ORD</v>
      </c>
      <c r="Q36" s="6" t="str">
        <f>MID(Revenue_DB[[#This Row],[Order ID]],1,4)</f>
        <v>ORD-</v>
      </c>
      <c r="R36" s="6" t="str">
        <f>UPPER(Revenue_DB[[#This Row],[Category]])</f>
        <v>STATIONERY</v>
      </c>
      <c r="S36" s="6" t="str">
        <f>LOWER(Revenue_DB[[#This Row],[Product]])</f>
        <v>marker set</v>
      </c>
      <c r="T36" s="6" t="str">
        <f>PROPER(Revenue_DB[[#This Row],[LOWER]])</f>
        <v>Marker Set</v>
      </c>
      <c r="U36" s="6">
        <f>LEN(Revenue_DB[[#This Row],[UPPER]])</f>
        <v>10</v>
      </c>
    </row>
    <row r="37" spans="1:21" ht="15" thickBot="1" x14ac:dyDescent="0.35">
      <c r="A37" s="8" t="s">
        <v>78</v>
      </c>
      <c r="B37" s="10" t="s">
        <v>79</v>
      </c>
      <c r="C37" s="10" t="s">
        <v>11</v>
      </c>
      <c r="D37" s="10" t="s">
        <v>16</v>
      </c>
      <c r="E37" s="10" t="s">
        <v>17</v>
      </c>
      <c r="F37" s="10">
        <v>46</v>
      </c>
      <c r="G37" s="10">
        <v>29.99</v>
      </c>
      <c r="H37" s="10">
        <v>0</v>
      </c>
      <c r="I37" s="11">
        <v>1379.54</v>
      </c>
      <c r="J37" s="53" t="str">
        <f>IF(Revenue_DB[[#This Row],[Units Sold]]&gt;30,"High Sales","Low Sales")</f>
        <v>High Sales</v>
      </c>
      <c r="K37" s="10" t="b">
        <f>AND(Revenue_DB[[#This Row],[Units Sold]]&gt;30,Revenue_DB[[#This Row],[Total Revenue ($)]]&gt;=1000)</f>
        <v>1</v>
      </c>
      <c r="L37" s="10" t="str">
        <f>IF(Revenue_DB[[#This Row],[AND]],"Best Sales","Worst Sales")</f>
        <v>Best Sales</v>
      </c>
      <c r="M37" s="10" t="b">
        <f>OR(Revenue_DB[[#This Row],[Units Sold]]&gt;30,Revenue_DB[[#This Row],[Total Revenue ($)]]&gt;=1000)</f>
        <v>1</v>
      </c>
      <c r="N37" s="10" t="b">
        <f>NOT(Revenue_DB[[#This Row],[Discount (%)]]&gt;10)</f>
        <v>1</v>
      </c>
      <c r="O37" s="10" t="str">
        <f>RIGHT(Revenue_DB[[#This Row],[Order ID]],4)</f>
        <v>1036</v>
      </c>
      <c r="P37" s="10" t="str">
        <f>LEFT(Revenue_DB[[#This Row],[Order ID]],3)</f>
        <v>ORD</v>
      </c>
      <c r="Q37" s="10" t="str">
        <f>MID(Revenue_DB[[#This Row],[Order ID]],1,4)</f>
        <v>ORD-</v>
      </c>
      <c r="R37" s="10" t="str">
        <f>UPPER(Revenue_DB[[#This Row],[Category]])</f>
        <v>ELECTRONICS</v>
      </c>
      <c r="S37" s="10" t="str">
        <f>LOWER(Revenue_DB[[#This Row],[Product]])</f>
        <v>wireless mouse</v>
      </c>
      <c r="T37" s="10" t="str">
        <f>PROPER(Revenue_DB[[#This Row],[LOWER]])</f>
        <v>Wireless Mouse</v>
      </c>
      <c r="U37" s="10">
        <f>LEN(Revenue_DB[[#This Row],[UPPER]])</f>
        <v>11</v>
      </c>
    </row>
    <row r="38" spans="1:21" ht="15" thickBot="1" x14ac:dyDescent="0.35">
      <c r="A38" s="5" t="s">
        <v>80</v>
      </c>
      <c r="B38" s="6" t="s">
        <v>49</v>
      </c>
      <c r="C38" s="6" t="s">
        <v>11</v>
      </c>
      <c r="D38" s="6" t="s">
        <v>40</v>
      </c>
      <c r="E38" s="6" t="s">
        <v>13</v>
      </c>
      <c r="F38" s="6">
        <v>5</v>
      </c>
      <c r="G38" s="6">
        <v>9.99</v>
      </c>
      <c r="H38" s="6">
        <v>20</v>
      </c>
      <c r="I38" s="7">
        <v>39.96</v>
      </c>
      <c r="J38" s="54" t="str">
        <f>IF(Revenue_DB[[#This Row],[Units Sold]]&gt;30,"High Sales","Low Sales")</f>
        <v>Low Sales</v>
      </c>
      <c r="K38" s="6" t="b">
        <f>AND(Revenue_DB[[#This Row],[Units Sold]]&gt;30,Revenue_DB[[#This Row],[Total Revenue ($)]]&gt;=1000)</f>
        <v>0</v>
      </c>
      <c r="L38" s="6" t="str">
        <f>IF(Revenue_DB[[#This Row],[AND]],"Best Sales","Worst Sales")</f>
        <v>Worst Sales</v>
      </c>
      <c r="M38" s="6" t="b">
        <f>OR(Revenue_DB[[#This Row],[Units Sold]]&gt;30,Revenue_DB[[#This Row],[Total Revenue ($)]]&gt;=1000)</f>
        <v>0</v>
      </c>
      <c r="N38" s="6" t="b">
        <f>NOT(Revenue_DB[[#This Row],[Discount (%)]]&gt;10)</f>
        <v>0</v>
      </c>
      <c r="O38" s="6" t="str">
        <f>RIGHT(Revenue_DB[[#This Row],[Order ID]],4)</f>
        <v>1037</v>
      </c>
      <c r="P38" s="6" t="str">
        <f>LEFT(Revenue_DB[[#This Row],[Order ID]],3)</f>
        <v>ORD</v>
      </c>
      <c r="Q38" s="6" t="str">
        <f>MID(Revenue_DB[[#This Row],[Order ID]],1,4)</f>
        <v>ORD-</v>
      </c>
      <c r="R38" s="6" t="str">
        <f>UPPER(Revenue_DB[[#This Row],[Category]])</f>
        <v>STATIONERY</v>
      </c>
      <c r="S38" s="6" t="str">
        <f>LOWER(Revenue_DB[[#This Row],[Product]])</f>
        <v>pen pack</v>
      </c>
      <c r="T38" s="6" t="str">
        <f>PROPER(Revenue_DB[[#This Row],[LOWER]])</f>
        <v>Pen Pack</v>
      </c>
      <c r="U38" s="6">
        <f>LEN(Revenue_DB[[#This Row],[UPPER]])</f>
        <v>10</v>
      </c>
    </row>
    <row r="39" spans="1:21" ht="15" thickBot="1" x14ac:dyDescent="0.35">
      <c r="A39" s="8" t="s">
        <v>81</v>
      </c>
      <c r="B39" s="9">
        <v>45296</v>
      </c>
      <c r="C39" s="10" t="s">
        <v>23</v>
      </c>
      <c r="D39" s="10" t="s">
        <v>20</v>
      </c>
      <c r="E39" s="10" t="s">
        <v>21</v>
      </c>
      <c r="F39" s="10">
        <v>35</v>
      </c>
      <c r="G39" s="10">
        <v>49.99</v>
      </c>
      <c r="H39" s="10">
        <v>5</v>
      </c>
      <c r="I39" s="11">
        <v>1662.17</v>
      </c>
      <c r="J39" s="53" t="str">
        <f>IF(Revenue_DB[[#This Row],[Units Sold]]&gt;30,"High Sales","Low Sales")</f>
        <v>High Sales</v>
      </c>
      <c r="K39" s="10" t="b">
        <f>AND(Revenue_DB[[#This Row],[Units Sold]]&gt;30,Revenue_DB[[#This Row],[Total Revenue ($)]]&gt;=1000)</f>
        <v>1</v>
      </c>
      <c r="L39" s="10" t="str">
        <f>IF(Revenue_DB[[#This Row],[AND]],"Best Sales","Worst Sales")</f>
        <v>Best Sales</v>
      </c>
      <c r="M39" s="10" t="b">
        <f>OR(Revenue_DB[[#This Row],[Units Sold]]&gt;30,Revenue_DB[[#This Row],[Total Revenue ($)]]&gt;=1000)</f>
        <v>1</v>
      </c>
      <c r="N39" s="10" t="b">
        <f>NOT(Revenue_DB[[#This Row],[Discount (%)]]&gt;10)</f>
        <v>1</v>
      </c>
      <c r="O39" s="10" t="str">
        <f>RIGHT(Revenue_DB[[#This Row],[Order ID]],4)</f>
        <v>1038</v>
      </c>
      <c r="P39" s="10" t="str">
        <f>LEFT(Revenue_DB[[#This Row],[Order ID]],3)</f>
        <v>ORD</v>
      </c>
      <c r="Q39" s="10" t="str">
        <f>MID(Revenue_DB[[#This Row],[Order ID]],1,4)</f>
        <v>ORD-</v>
      </c>
      <c r="R39" s="10" t="str">
        <f>UPPER(Revenue_DB[[#This Row],[Category]])</f>
        <v>FURNITURE</v>
      </c>
      <c r="S39" s="10" t="str">
        <f>LOWER(Revenue_DB[[#This Row],[Product]])</f>
        <v>desk lamp</v>
      </c>
      <c r="T39" s="10" t="str">
        <f>PROPER(Revenue_DB[[#This Row],[LOWER]])</f>
        <v>Desk Lamp</v>
      </c>
      <c r="U39" s="10">
        <f>LEN(Revenue_DB[[#This Row],[UPPER]])</f>
        <v>9</v>
      </c>
    </row>
    <row r="40" spans="1:21" ht="15" thickBot="1" x14ac:dyDescent="0.35">
      <c r="A40" s="5" t="s">
        <v>82</v>
      </c>
      <c r="B40" s="6" t="s">
        <v>83</v>
      </c>
      <c r="C40" s="6" t="s">
        <v>23</v>
      </c>
      <c r="D40" s="6" t="s">
        <v>20</v>
      </c>
      <c r="E40" s="6" t="s">
        <v>21</v>
      </c>
      <c r="F40" s="6">
        <v>23</v>
      </c>
      <c r="G40" s="6">
        <v>49.99</v>
      </c>
      <c r="H40" s="6">
        <v>15</v>
      </c>
      <c r="I40" s="7">
        <v>977.3</v>
      </c>
      <c r="J40" s="54" t="str">
        <f>IF(Revenue_DB[[#This Row],[Units Sold]]&gt;30,"High Sales","Low Sales")</f>
        <v>Low Sales</v>
      </c>
      <c r="K40" s="6" t="b">
        <f>AND(Revenue_DB[[#This Row],[Units Sold]]&gt;30,Revenue_DB[[#This Row],[Total Revenue ($)]]&gt;=1000)</f>
        <v>0</v>
      </c>
      <c r="L40" s="6" t="str">
        <f>IF(Revenue_DB[[#This Row],[AND]],"Best Sales","Worst Sales")</f>
        <v>Worst Sales</v>
      </c>
      <c r="M40" s="6" t="b">
        <f>OR(Revenue_DB[[#This Row],[Units Sold]]&gt;30,Revenue_DB[[#This Row],[Total Revenue ($)]]&gt;=1000)</f>
        <v>0</v>
      </c>
      <c r="N40" s="6" t="b">
        <f>NOT(Revenue_DB[[#This Row],[Discount (%)]]&gt;10)</f>
        <v>0</v>
      </c>
      <c r="O40" s="6" t="str">
        <f>RIGHT(Revenue_DB[[#This Row],[Order ID]],4)</f>
        <v>1039</v>
      </c>
      <c r="P40" s="6" t="str">
        <f>LEFT(Revenue_DB[[#This Row],[Order ID]],3)</f>
        <v>ORD</v>
      </c>
      <c r="Q40" s="6" t="str">
        <f>MID(Revenue_DB[[#This Row],[Order ID]],1,4)</f>
        <v>ORD-</v>
      </c>
      <c r="R40" s="6" t="str">
        <f>UPPER(Revenue_DB[[#This Row],[Category]])</f>
        <v>FURNITURE</v>
      </c>
      <c r="S40" s="6" t="str">
        <f>LOWER(Revenue_DB[[#This Row],[Product]])</f>
        <v>desk lamp</v>
      </c>
      <c r="T40" s="6" t="str">
        <f>PROPER(Revenue_DB[[#This Row],[LOWER]])</f>
        <v>Desk Lamp</v>
      </c>
      <c r="U40" s="6">
        <f>LEN(Revenue_DB[[#This Row],[UPPER]])</f>
        <v>9</v>
      </c>
    </row>
    <row r="41" spans="1:21" ht="15" thickBot="1" x14ac:dyDescent="0.35">
      <c r="A41" s="8" t="s">
        <v>84</v>
      </c>
      <c r="B41" s="9">
        <v>45477</v>
      </c>
      <c r="C41" s="10" t="s">
        <v>11</v>
      </c>
      <c r="D41" s="10" t="s">
        <v>30</v>
      </c>
      <c r="E41" s="10" t="s">
        <v>17</v>
      </c>
      <c r="F41" s="10">
        <v>23</v>
      </c>
      <c r="G41" s="10">
        <v>499.99</v>
      </c>
      <c r="H41" s="10">
        <v>15</v>
      </c>
      <c r="I41" s="11">
        <v>9774.7999999999993</v>
      </c>
      <c r="J41" s="53" t="str">
        <f>IF(Revenue_DB[[#This Row],[Units Sold]]&gt;30,"High Sales","Low Sales")</f>
        <v>Low Sales</v>
      </c>
      <c r="K41" s="10" t="b">
        <f>AND(Revenue_DB[[#This Row],[Units Sold]]&gt;30,Revenue_DB[[#This Row],[Total Revenue ($)]]&gt;=1000)</f>
        <v>0</v>
      </c>
      <c r="L41" s="10" t="str">
        <f>IF(Revenue_DB[[#This Row],[AND]],"Best Sales","Worst Sales")</f>
        <v>Worst Sales</v>
      </c>
      <c r="M41" s="10" t="b">
        <f>OR(Revenue_DB[[#This Row],[Units Sold]]&gt;30,Revenue_DB[[#This Row],[Total Revenue ($)]]&gt;=1000)</f>
        <v>1</v>
      </c>
      <c r="N41" s="10" t="b">
        <f>NOT(Revenue_DB[[#This Row],[Discount (%)]]&gt;10)</f>
        <v>0</v>
      </c>
      <c r="O41" s="10" t="str">
        <f>RIGHT(Revenue_DB[[#This Row],[Order ID]],4)</f>
        <v>1040</v>
      </c>
      <c r="P41" s="10" t="str">
        <f>LEFT(Revenue_DB[[#This Row],[Order ID]],3)</f>
        <v>ORD</v>
      </c>
      <c r="Q41" s="10" t="str">
        <f>MID(Revenue_DB[[#This Row],[Order ID]],1,4)</f>
        <v>ORD-</v>
      </c>
      <c r="R41" s="10" t="str">
        <f>UPPER(Revenue_DB[[#This Row],[Category]])</f>
        <v>ELECTRONICS</v>
      </c>
      <c r="S41" s="10" t="str">
        <f>LOWER(Revenue_DB[[#This Row],[Product]])</f>
        <v>monitor 27"</v>
      </c>
      <c r="T41" s="10" t="str">
        <f>PROPER(Revenue_DB[[#This Row],[LOWER]])</f>
        <v>Monitor 27"</v>
      </c>
      <c r="U41" s="10">
        <f>LEN(Revenue_DB[[#This Row],[UPPER]])</f>
        <v>11</v>
      </c>
    </row>
    <row r="42" spans="1:21" ht="15" thickBot="1" x14ac:dyDescent="0.35">
      <c r="A42" s="5" t="s">
        <v>85</v>
      </c>
      <c r="B42" s="6" t="s">
        <v>86</v>
      </c>
      <c r="C42" s="6" t="s">
        <v>11</v>
      </c>
      <c r="D42" s="6" t="s">
        <v>16</v>
      </c>
      <c r="E42" s="6" t="s">
        <v>17</v>
      </c>
      <c r="F42" s="6">
        <v>4</v>
      </c>
      <c r="G42" s="6">
        <v>29.99</v>
      </c>
      <c r="H42" s="6">
        <v>15</v>
      </c>
      <c r="I42" s="7">
        <v>101.97</v>
      </c>
      <c r="J42" s="54" t="str">
        <f>IF(Revenue_DB[[#This Row],[Units Sold]]&gt;30,"High Sales","Low Sales")</f>
        <v>Low Sales</v>
      </c>
      <c r="K42" s="6" t="b">
        <f>AND(Revenue_DB[[#This Row],[Units Sold]]&gt;30,Revenue_DB[[#This Row],[Total Revenue ($)]]&gt;=1000)</f>
        <v>0</v>
      </c>
      <c r="L42" s="6" t="str">
        <f>IF(Revenue_DB[[#This Row],[AND]],"Best Sales","Worst Sales")</f>
        <v>Worst Sales</v>
      </c>
      <c r="M42" s="6" t="b">
        <f>OR(Revenue_DB[[#This Row],[Units Sold]]&gt;30,Revenue_DB[[#This Row],[Total Revenue ($)]]&gt;=1000)</f>
        <v>0</v>
      </c>
      <c r="N42" s="6" t="b">
        <f>NOT(Revenue_DB[[#This Row],[Discount (%)]]&gt;10)</f>
        <v>0</v>
      </c>
      <c r="O42" s="6" t="str">
        <f>RIGHT(Revenue_DB[[#This Row],[Order ID]],4)</f>
        <v>1041</v>
      </c>
      <c r="P42" s="6" t="str">
        <f>LEFT(Revenue_DB[[#This Row],[Order ID]],3)</f>
        <v>ORD</v>
      </c>
      <c r="Q42" s="6" t="str">
        <f>MID(Revenue_DB[[#This Row],[Order ID]],1,4)</f>
        <v>ORD-</v>
      </c>
      <c r="R42" s="6" t="str">
        <f>UPPER(Revenue_DB[[#This Row],[Category]])</f>
        <v>ELECTRONICS</v>
      </c>
      <c r="S42" s="6" t="str">
        <f>LOWER(Revenue_DB[[#This Row],[Product]])</f>
        <v>wireless mouse</v>
      </c>
      <c r="T42" s="6" t="str">
        <f>PROPER(Revenue_DB[[#This Row],[LOWER]])</f>
        <v>Wireless Mouse</v>
      </c>
      <c r="U42" s="6">
        <f>LEN(Revenue_DB[[#This Row],[UPPER]])</f>
        <v>11</v>
      </c>
    </row>
    <row r="43" spans="1:21" ht="15" thickBot="1" x14ac:dyDescent="0.35">
      <c r="A43" s="8" t="s">
        <v>87</v>
      </c>
      <c r="B43" s="10" t="s">
        <v>88</v>
      </c>
      <c r="C43" s="10" t="s">
        <v>45</v>
      </c>
      <c r="D43" s="10" t="s">
        <v>20</v>
      </c>
      <c r="E43" s="10" t="s">
        <v>21</v>
      </c>
      <c r="F43" s="10">
        <v>13</v>
      </c>
      <c r="G43" s="10">
        <v>49.99</v>
      </c>
      <c r="H43" s="10">
        <v>20</v>
      </c>
      <c r="I43" s="11">
        <v>519.9</v>
      </c>
      <c r="J43" s="53" t="str">
        <f>IF(Revenue_DB[[#This Row],[Units Sold]]&gt;30,"High Sales","Low Sales")</f>
        <v>Low Sales</v>
      </c>
      <c r="K43" s="10" t="b">
        <f>AND(Revenue_DB[[#This Row],[Units Sold]]&gt;30,Revenue_DB[[#This Row],[Total Revenue ($)]]&gt;=1000)</f>
        <v>0</v>
      </c>
      <c r="L43" s="10" t="str">
        <f>IF(Revenue_DB[[#This Row],[AND]],"Best Sales","Worst Sales")</f>
        <v>Worst Sales</v>
      </c>
      <c r="M43" s="10" t="b">
        <f>OR(Revenue_DB[[#This Row],[Units Sold]]&gt;30,Revenue_DB[[#This Row],[Total Revenue ($)]]&gt;=1000)</f>
        <v>0</v>
      </c>
      <c r="N43" s="10" t="b">
        <f>NOT(Revenue_DB[[#This Row],[Discount (%)]]&gt;10)</f>
        <v>0</v>
      </c>
      <c r="O43" s="10" t="str">
        <f>RIGHT(Revenue_DB[[#This Row],[Order ID]],4)</f>
        <v>1042</v>
      </c>
      <c r="P43" s="10" t="str">
        <f>LEFT(Revenue_DB[[#This Row],[Order ID]],3)</f>
        <v>ORD</v>
      </c>
      <c r="Q43" s="10" t="str">
        <f>MID(Revenue_DB[[#This Row],[Order ID]],1,4)</f>
        <v>ORD-</v>
      </c>
      <c r="R43" s="10" t="str">
        <f>UPPER(Revenue_DB[[#This Row],[Category]])</f>
        <v>FURNITURE</v>
      </c>
      <c r="S43" s="10" t="str">
        <f>LOWER(Revenue_DB[[#This Row],[Product]])</f>
        <v>desk lamp</v>
      </c>
      <c r="T43" s="10" t="str">
        <f>PROPER(Revenue_DB[[#This Row],[LOWER]])</f>
        <v>Desk Lamp</v>
      </c>
      <c r="U43" s="10">
        <f>LEN(Revenue_DB[[#This Row],[UPPER]])</f>
        <v>9</v>
      </c>
    </row>
    <row r="44" spans="1:21" ht="15" thickBot="1" x14ac:dyDescent="0.35">
      <c r="A44" s="5" t="s">
        <v>89</v>
      </c>
      <c r="B44" s="6" t="s">
        <v>90</v>
      </c>
      <c r="C44" s="6" t="s">
        <v>23</v>
      </c>
      <c r="D44" s="6" t="s">
        <v>58</v>
      </c>
      <c r="E44" s="6" t="s">
        <v>21</v>
      </c>
      <c r="F44" s="6">
        <v>18</v>
      </c>
      <c r="G44" s="6">
        <v>349.99</v>
      </c>
      <c r="H44" s="6">
        <v>15</v>
      </c>
      <c r="I44" s="7">
        <v>5354.85</v>
      </c>
      <c r="J44" s="54" t="str">
        <f>IF(Revenue_DB[[#This Row],[Units Sold]]&gt;30,"High Sales","Low Sales")</f>
        <v>Low Sales</v>
      </c>
      <c r="K44" s="6" t="b">
        <f>AND(Revenue_DB[[#This Row],[Units Sold]]&gt;30,Revenue_DB[[#This Row],[Total Revenue ($)]]&gt;=1000)</f>
        <v>0</v>
      </c>
      <c r="L44" s="6" t="str">
        <f>IF(Revenue_DB[[#This Row],[AND]],"Best Sales","Worst Sales")</f>
        <v>Worst Sales</v>
      </c>
      <c r="M44" s="6" t="b">
        <f>OR(Revenue_DB[[#This Row],[Units Sold]]&gt;30,Revenue_DB[[#This Row],[Total Revenue ($)]]&gt;=1000)</f>
        <v>1</v>
      </c>
      <c r="N44" s="6" t="b">
        <f>NOT(Revenue_DB[[#This Row],[Discount (%)]]&gt;10)</f>
        <v>0</v>
      </c>
      <c r="O44" s="6" t="str">
        <f>RIGHT(Revenue_DB[[#This Row],[Order ID]],4)</f>
        <v>1043</v>
      </c>
      <c r="P44" s="6" t="str">
        <f>LEFT(Revenue_DB[[#This Row],[Order ID]],3)</f>
        <v>ORD</v>
      </c>
      <c r="Q44" s="6" t="str">
        <f>MID(Revenue_DB[[#This Row],[Order ID]],1,4)</f>
        <v>ORD-</v>
      </c>
      <c r="R44" s="6" t="str">
        <f>UPPER(Revenue_DB[[#This Row],[Category]])</f>
        <v>FURNITURE</v>
      </c>
      <c r="S44" s="6" t="str">
        <f>LOWER(Revenue_DB[[#This Row],[Product]])</f>
        <v>office chair</v>
      </c>
      <c r="T44" s="6" t="str">
        <f>PROPER(Revenue_DB[[#This Row],[LOWER]])</f>
        <v>Office Chair</v>
      </c>
      <c r="U44" s="6">
        <f>LEN(Revenue_DB[[#This Row],[UPPER]])</f>
        <v>9</v>
      </c>
    </row>
    <row r="45" spans="1:21" ht="15" thickBot="1" x14ac:dyDescent="0.35">
      <c r="A45" s="8" t="s">
        <v>91</v>
      </c>
      <c r="B45" s="9">
        <v>45478</v>
      </c>
      <c r="C45" s="10" t="s">
        <v>23</v>
      </c>
      <c r="D45" s="10" t="s">
        <v>67</v>
      </c>
      <c r="E45" s="10" t="s">
        <v>21</v>
      </c>
      <c r="F45" s="10">
        <v>7</v>
      </c>
      <c r="G45" s="10">
        <v>199.99</v>
      </c>
      <c r="H45" s="10">
        <v>0</v>
      </c>
      <c r="I45" s="11">
        <v>1399.93</v>
      </c>
      <c r="J45" s="53" t="str">
        <f>IF(Revenue_DB[[#This Row],[Units Sold]]&gt;30,"High Sales","Low Sales")</f>
        <v>Low Sales</v>
      </c>
      <c r="K45" s="10" t="b">
        <f>AND(Revenue_DB[[#This Row],[Units Sold]]&gt;30,Revenue_DB[[#This Row],[Total Revenue ($)]]&gt;=1000)</f>
        <v>0</v>
      </c>
      <c r="L45" s="10" t="str">
        <f>IF(Revenue_DB[[#This Row],[AND]],"Best Sales","Worst Sales")</f>
        <v>Worst Sales</v>
      </c>
      <c r="M45" s="10" t="b">
        <f>OR(Revenue_DB[[#This Row],[Units Sold]]&gt;30,Revenue_DB[[#This Row],[Total Revenue ($)]]&gt;=1000)</f>
        <v>1</v>
      </c>
      <c r="N45" s="10" t="b">
        <f>NOT(Revenue_DB[[#This Row],[Discount (%)]]&gt;10)</f>
        <v>1</v>
      </c>
      <c r="O45" s="10" t="str">
        <f>RIGHT(Revenue_DB[[#This Row],[Order ID]],4)</f>
        <v>1044</v>
      </c>
      <c r="P45" s="10" t="str">
        <f>LEFT(Revenue_DB[[#This Row],[Order ID]],3)</f>
        <v>ORD</v>
      </c>
      <c r="Q45" s="10" t="str">
        <f>MID(Revenue_DB[[#This Row],[Order ID]],1,4)</f>
        <v>ORD-</v>
      </c>
      <c r="R45" s="10" t="str">
        <f>UPPER(Revenue_DB[[#This Row],[Category]])</f>
        <v>FURNITURE</v>
      </c>
      <c r="S45" s="10" t="str">
        <f>LOWER(Revenue_DB[[#This Row],[Product]])</f>
        <v>filing cabinet</v>
      </c>
      <c r="T45" s="10" t="str">
        <f>PROPER(Revenue_DB[[#This Row],[LOWER]])</f>
        <v>Filing Cabinet</v>
      </c>
      <c r="U45" s="10">
        <f>LEN(Revenue_DB[[#This Row],[UPPER]])</f>
        <v>9</v>
      </c>
    </row>
    <row r="46" spans="1:21" ht="15" thickBot="1" x14ac:dyDescent="0.35">
      <c r="A46" s="5" t="s">
        <v>92</v>
      </c>
      <c r="B46" s="6" t="s">
        <v>93</v>
      </c>
      <c r="C46" s="6" t="s">
        <v>11</v>
      </c>
      <c r="D46" s="6" t="s">
        <v>16</v>
      </c>
      <c r="E46" s="6" t="s">
        <v>17</v>
      </c>
      <c r="F46" s="6">
        <v>49</v>
      </c>
      <c r="G46" s="6">
        <v>29.99</v>
      </c>
      <c r="H46" s="6">
        <v>5</v>
      </c>
      <c r="I46" s="7">
        <v>1396.03</v>
      </c>
      <c r="J46" s="54" t="str">
        <f>IF(Revenue_DB[[#This Row],[Units Sold]]&gt;30,"High Sales","Low Sales")</f>
        <v>High Sales</v>
      </c>
      <c r="K46" s="6" t="b">
        <f>AND(Revenue_DB[[#This Row],[Units Sold]]&gt;30,Revenue_DB[[#This Row],[Total Revenue ($)]]&gt;=1000)</f>
        <v>1</v>
      </c>
      <c r="L46" s="6" t="str">
        <f>IF(Revenue_DB[[#This Row],[AND]],"Best Sales","Worst Sales")</f>
        <v>Best Sales</v>
      </c>
      <c r="M46" s="6" t="b">
        <f>OR(Revenue_DB[[#This Row],[Units Sold]]&gt;30,Revenue_DB[[#This Row],[Total Revenue ($)]]&gt;=1000)</f>
        <v>1</v>
      </c>
      <c r="N46" s="6" t="b">
        <f>NOT(Revenue_DB[[#This Row],[Discount (%)]]&gt;10)</f>
        <v>1</v>
      </c>
      <c r="O46" s="6" t="str">
        <f>RIGHT(Revenue_DB[[#This Row],[Order ID]],4)</f>
        <v>1045</v>
      </c>
      <c r="P46" s="6" t="str">
        <f>LEFT(Revenue_DB[[#This Row],[Order ID]],3)</f>
        <v>ORD</v>
      </c>
      <c r="Q46" s="6" t="str">
        <f>MID(Revenue_DB[[#This Row],[Order ID]],1,4)</f>
        <v>ORD-</v>
      </c>
      <c r="R46" s="6" t="str">
        <f>UPPER(Revenue_DB[[#This Row],[Category]])</f>
        <v>ELECTRONICS</v>
      </c>
      <c r="S46" s="6" t="str">
        <f>LOWER(Revenue_DB[[#This Row],[Product]])</f>
        <v>wireless mouse</v>
      </c>
      <c r="T46" s="6" t="str">
        <f>PROPER(Revenue_DB[[#This Row],[LOWER]])</f>
        <v>Wireless Mouse</v>
      </c>
      <c r="U46" s="6">
        <f>LEN(Revenue_DB[[#This Row],[UPPER]])</f>
        <v>11</v>
      </c>
    </row>
    <row r="47" spans="1:21" ht="15" thickBot="1" x14ac:dyDescent="0.35">
      <c r="A47" s="8" t="s">
        <v>94</v>
      </c>
      <c r="B47" s="10" t="s">
        <v>95</v>
      </c>
      <c r="C47" s="10" t="s">
        <v>23</v>
      </c>
      <c r="D47" s="10" t="s">
        <v>46</v>
      </c>
      <c r="E47" s="10" t="s">
        <v>17</v>
      </c>
      <c r="F47" s="10">
        <v>14</v>
      </c>
      <c r="G47" s="10">
        <v>89.99</v>
      </c>
      <c r="H47" s="10">
        <v>15</v>
      </c>
      <c r="I47" s="11">
        <v>1070.8800000000001</v>
      </c>
      <c r="J47" s="53" t="str">
        <f>IF(Revenue_DB[[#This Row],[Units Sold]]&gt;30,"High Sales","Low Sales")</f>
        <v>Low Sales</v>
      </c>
      <c r="K47" s="10" t="b">
        <f>AND(Revenue_DB[[#This Row],[Units Sold]]&gt;30,Revenue_DB[[#This Row],[Total Revenue ($)]]&gt;=1000)</f>
        <v>0</v>
      </c>
      <c r="L47" s="10" t="str">
        <f>IF(Revenue_DB[[#This Row],[AND]],"Best Sales","Worst Sales")</f>
        <v>Worst Sales</v>
      </c>
      <c r="M47" s="10" t="b">
        <f>OR(Revenue_DB[[#This Row],[Units Sold]]&gt;30,Revenue_DB[[#This Row],[Total Revenue ($)]]&gt;=1000)</f>
        <v>1</v>
      </c>
      <c r="N47" s="10" t="b">
        <f>NOT(Revenue_DB[[#This Row],[Discount (%)]]&gt;10)</f>
        <v>0</v>
      </c>
      <c r="O47" s="10" t="str">
        <f>RIGHT(Revenue_DB[[#This Row],[Order ID]],4)</f>
        <v>1046</v>
      </c>
      <c r="P47" s="10" t="str">
        <f>LEFT(Revenue_DB[[#This Row],[Order ID]],3)</f>
        <v>ORD</v>
      </c>
      <c r="Q47" s="10" t="str">
        <f>MID(Revenue_DB[[#This Row],[Order ID]],1,4)</f>
        <v>ORD-</v>
      </c>
      <c r="R47" s="10" t="str">
        <f>UPPER(Revenue_DB[[#This Row],[Category]])</f>
        <v>ELECTRONICS</v>
      </c>
      <c r="S47" s="10" t="str">
        <f>LOWER(Revenue_DB[[#This Row],[Product]])</f>
        <v>keyboard</v>
      </c>
      <c r="T47" s="10" t="str">
        <f>PROPER(Revenue_DB[[#This Row],[LOWER]])</f>
        <v>Keyboard</v>
      </c>
      <c r="U47" s="10">
        <f>LEN(Revenue_DB[[#This Row],[UPPER]])</f>
        <v>11</v>
      </c>
    </row>
    <row r="48" spans="1:21" ht="15" thickBot="1" x14ac:dyDescent="0.35">
      <c r="A48" s="5" t="s">
        <v>96</v>
      </c>
      <c r="B48" s="6" t="s">
        <v>97</v>
      </c>
      <c r="C48" s="6" t="s">
        <v>23</v>
      </c>
      <c r="D48" s="6" t="s">
        <v>33</v>
      </c>
      <c r="E48" s="6" t="s">
        <v>17</v>
      </c>
      <c r="F48" s="6">
        <v>25</v>
      </c>
      <c r="G48" s="6">
        <v>1299.99</v>
      </c>
      <c r="H48" s="6">
        <v>10</v>
      </c>
      <c r="I48" s="7">
        <v>29249.78</v>
      </c>
      <c r="J48" s="54" t="str">
        <f>IF(Revenue_DB[[#This Row],[Units Sold]]&gt;30,"High Sales","Low Sales")</f>
        <v>Low Sales</v>
      </c>
      <c r="K48" s="6" t="b">
        <f>AND(Revenue_DB[[#This Row],[Units Sold]]&gt;30,Revenue_DB[[#This Row],[Total Revenue ($)]]&gt;=1000)</f>
        <v>0</v>
      </c>
      <c r="L48" s="6" t="str">
        <f>IF(Revenue_DB[[#This Row],[AND]],"Best Sales","Worst Sales")</f>
        <v>Worst Sales</v>
      </c>
      <c r="M48" s="6" t="b">
        <f>OR(Revenue_DB[[#This Row],[Units Sold]]&gt;30,Revenue_DB[[#This Row],[Total Revenue ($)]]&gt;=1000)</f>
        <v>1</v>
      </c>
      <c r="N48" s="6" t="b">
        <f>NOT(Revenue_DB[[#This Row],[Discount (%)]]&gt;10)</f>
        <v>1</v>
      </c>
      <c r="O48" s="6" t="str">
        <f>RIGHT(Revenue_DB[[#This Row],[Order ID]],4)</f>
        <v>1047</v>
      </c>
      <c r="P48" s="6" t="str">
        <f>LEFT(Revenue_DB[[#This Row],[Order ID]],3)</f>
        <v>ORD</v>
      </c>
      <c r="Q48" s="6" t="str">
        <f>MID(Revenue_DB[[#This Row],[Order ID]],1,4)</f>
        <v>ORD-</v>
      </c>
      <c r="R48" s="6" t="str">
        <f>UPPER(Revenue_DB[[#This Row],[Category]])</f>
        <v>ELECTRONICS</v>
      </c>
      <c r="S48" s="6" t="str">
        <f>LOWER(Revenue_DB[[#This Row],[Product]])</f>
        <v>laptop pro</v>
      </c>
      <c r="T48" s="6" t="str">
        <f>PROPER(Revenue_DB[[#This Row],[LOWER]])</f>
        <v>Laptop Pro</v>
      </c>
      <c r="U48" s="6">
        <f>LEN(Revenue_DB[[#This Row],[UPPER]])</f>
        <v>11</v>
      </c>
    </row>
    <row r="49" spans="1:21" ht="15" thickBot="1" x14ac:dyDescent="0.35">
      <c r="A49" s="8" t="s">
        <v>98</v>
      </c>
      <c r="B49" s="10" t="s">
        <v>99</v>
      </c>
      <c r="C49" s="10" t="s">
        <v>23</v>
      </c>
      <c r="D49" s="10" t="s">
        <v>67</v>
      </c>
      <c r="E49" s="10" t="s">
        <v>21</v>
      </c>
      <c r="F49" s="10">
        <v>43</v>
      </c>
      <c r="G49" s="10">
        <v>199.99</v>
      </c>
      <c r="H49" s="10">
        <v>15</v>
      </c>
      <c r="I49" s="11">
        <v>7309.63</v>
      </c>
      <c r="J49" s="53" t="str">
        <f>IF(Revenue_DB[[#This Row],[Units Sold]]&gt;30,"High Sales","Low Sales")</f>
        <v>High Sales</v>
      </c>
      <c r="K49" s="10" t="b">
        <f>AND(Revenue_DB[[#This Row],[Units Sold]]&gt;30,Revenue_DB[[#This Row],[Total Revenue ($)]]&gt;=1000)</f>
        <v>1</v>
      </c>
      <c r="L49" s="10" t="str">
        <f>IF(Revenue_DB[[#This Row],[AND]],"Best Sales","Worst Sales")</f>
        <v>Best Sales</v>
      </c>
      <c r="M49" s="10" t="b">
        <f>OR(Revenue_DB[[#This Row],[Units Sold]]&gt;30,Revenue_DB[[#This Row],[Total Revenue ($)]]&gt;=1000)</f>
        <v>1</v>
      </c>
      <c r="N49" s="10" t="b">
        <f>NOT(Revenue_DB[[#This Row],[Discount (%)]]&gt;10)</f>
        <v>0</v>
      </c>
      <c r="O49" s="10" t="str">
        <f>RIGHT(Revenue_DB[[#This Row],[Order ID]],4)</f>
        <v>1048</v>
      </c>
      <c r="P49" s="10" t="str">
        <f>LEFT(Revenue_DB[[#This Row],[Order ID]],3)</f>
        <v>ORD</v>
      </c>
      <c r="Q49" s="10" t="str">
        <f>MID(Revenue_DB[[#This Row],[Order ID]],1,4)</f>
        <v>ORD-</v>
      </c>
      <c r="R49" s="10" t="str">
        <f>UPPER(Revenue_DB[[#This Row],[Category]])</f>
        <v>FURNITURE</v>
      </c>
      <c r="S49" s="10" t="str">
        <f>LOWER(Revenue_DB[[#This Row],[Product]])</f>
        <v>filing cabinet</v>
      </c>
      <c r="T49" s="10" t="str">
        <f>PROPER(Revenue_DB[[#This Row],[LOWER]])</f>
        <v>Filing Cabinet</v>
      </c>
      <c r="U49" s="10">
        <f>LEN(Revenue_DB[[#This Row],[UPPER]])</f>
        <v>9</v>
      </c>
    </row>
    <row r="50" spans="1:21" ht="15" thickBot="1" x14ac:dyDescent="0.35">
      <c r="A50" s="5" t="s">
        <v>100</v>
      </c>
      <c r="B50" s="6" t="s">
        <v>101</v>
      </c>
      <c r="C50" s="6" t="s">
        <v>27</v>
      </c>
      <c r="D50" s="6" t="s">
        <v>20</v>
      </c>
      <c r="E50" s="6" t="s">
        <v>21</v>
      </c>
      <c r="F50" s="6">
        <v>4</v>
      </c>
      <c r="G50" s="6">
        <v>49.99</v>
      </c>
      <c r="H50" s="6">
        <v>20</v>
      </c>
      <c r="I50" s="7">
        <v>159.97</v>
      </c>
      <c r="J50" s="54" t="str">
        <f>IF(Revenue_DB[[#This Row],[Units Sold]]&gt;30,"High Sales","Low Sales")</f>
        <v>Low Sales</v>
      </c>
      <c r="K50" s="6" t="b">
        <f>AND(Revenue_DB[[#This Row],[Units Sold]]&gt;30,Revenue_DB[[#This Row],[Total Revenue ($)]]&gt;=1000)</f>
        <v>0</v>
      </c>
      <c r="L50" s="6" t="str">
        <f>IF(Revenue_DB[[#This Row],[AND]],"Best Sales","Worst Sales")</f>
        <v>Worst Sales</v>
      </c>
      <c r="M50" s="6" t="b">
        <f>OR(Revenue_DB[[#This Row],[Units Sold]]&gt;30,Revenue_DB[[#This Row],[Total Revenue ($)]]&gt;=1000)</f>
        <v>0</v>
      </c>
      <c r="N50" s="6" t="b">
        <f>NOT(Revenue_DB[[#This Row],[Discount (%)]]&gt;10)</f>
        <v>0</v>
      </c>
      <c r="O50" s="6" t="str">
        <f>RIGHT(Revenue_DB[[#This Row],[Order ID]],4)</f>
        <v>1049</v>
      </c>
      <c r="P50" s="6" t="str">
        <f>LEFT(Revenue_DB[[#This Row],[Order ID]],3)</f>
        <v>ORD</v>
      </c>
      <c r="Q50" s="6" t="str">
        <f>MID(Revenue_DB[[#This Row],[Order ID]],1,4)</f>
        <v>ORD-</v>
      </c>
      <c r="R50" s="6" t="str">
        <f>UPPER(Revenue_DB[[#This Row],[Category]])</f>
        <v>FURNITURE</v>
      </c>
      <c r="S50" s="6" t="str">
        <f>LOWER(Revenue_DB[[#This Row],[Product]])</f>
        <v>desk lamp</v>
      </c>
      <c r="T50" s="6" t="str">
        <f>PROPER(Revenue_DB[[#This Row],[LOWER]])</f>
        <v>Desk Lamp</v>
      </c>
      <c r="U50" s="6">
        <f>LEN(Revenue_DB[[#This Row],[UPPER]])</f>
        <v>9</v>
      </c>
    </row>
    <row r="51" spans="1:21" x14ac:dyDescent="0.3">
      <c r="A51" s="14" t="s">
        <v>102</v>
      </c>
      <c r="B51" s="15">
        <v>45392</v>
      </c>
      <c r="C51" s="16" t="s">
        <v>27</v>
      </c>
      <c r="D51" s="16" t="s">
        <v>33</v>
      </c>
      <c r="E51" s="16" t="s">
        <v>17</v>
      </c>
      <c r="F51" s="16">
        <v>4</v>
      </c>
      <c r="G51" s="16">
        <v>1299.99</v>
      </c>
      <c r="H51" s="16">
        <v>20</v>
      </c>
      <c r="I51" s="17">
        <v>4159.97</v>
      </c>
      <c r="J51" s="55" t="str">
        <f>IF(Revenue_DB[[#This Row],[Units Sold]]&gt;30,"High Sales","Low Sales")</f>
        <v>Low Sales</v>
      </c>
      <c r="K51" s="16" t="b">
        <f>AND(Revenue_DB[[#This Row],[Units Sold]]&gt;30,Revenue_DB[[#This Row],[Total Revenue ($)]]&gt;=1000)</f>
        <v>0</v>
      </c>
      <c r="L51" s="16" t="str">
        <f>IF(Revenue_DB[[#This Row],[AND]],"Best Sales","Worst Sales")</f>
        <v>Worst Sales</v>
      </c>
      <c r="M51" s="16" t="b">
        <f>OR(Revenue_DB[[#This Row],[Units Sold]]&gt;30,Revenue_DB[[#This Row],[Total Revenue ($)]]&gt;=1000)</f>
        <v>1</v>
      </c>
      <c r="N51" s="16" t="b">
        <f>NOT(Revenue_DB[[#This Row],[Discount (%)]]&gt;10)</f>
        <v>0</v>
      </c>
      <c r="O51" s="16" t="str">
        <f>RIGHT(Revenue_DB[[#This Row],[Order ID]],4)</f>
        <v>1050</v>
      </c>
      <c r="P51" s="16" t="str">
        <f>LEFT(Revenue_DB[[#This Row],[Order ID]],3)</f>
        <v>ORD</v>
      </c>
      <c r="Q51" s="16" t="str">
        <f>MID(Revenue_DB[[#This Row],[Order ID]],1,4)</f>
        <v>ORD-</v>
      </c>
      <c r="R51" s="16" t="str">
        <f>UPPER(Revenue_DB[[#This Row],[Category]])</f>
        <v>ELECTRONICS</v>
      </c>
      <c r="S51" s="16" t="str">
        <f>LOWER(Revenue_DB[[#This Row],[Product]])</f>
        <v>laptop pro</v>
      </c>
      <c r="T51" s="16" t="str">
        <f>PROPER(Revenue_DB[[#This Row],[LOWER]])</f>
        <v>Laptop Pro</v>
      </c>
      <c r="U51" s="16">
        <f>LEN(Revenue_DB[[#This Row],[UPPER]])</f>
        <v>11</v>
      </c>
    </row>
  </sheetData>
  <conditionalFormatting sqref="J1:J1048576">
    <cfRule type="containsText" dxfId="14" priority="32" operator="containsText" text="Low Sales">
      <formula>NOT(ISERROR(SEARCH("Low Sales",J1)))</formula>
    </cfRule>
    <cfRule type="containsText" dxfId="13" priority="33" operator="containsText" text="Low Sales">
      <formula>NOT(ISERROR(SEARCH("Low Sales",J1)))</formula>
    </cfRule>
  </conditionalFormatting>
  <conditionalFormatting sqref="J2:J51">
    <cfRule type="containsText" dxfId="12" priority="34" operator="containsText" text="High Sales">
      <formula>NOT(ISERROR(SEARCH("High Sales",J2)))</formula>
    </cfRule>
  </conditionalFormatting>
  <conditionalFormatting sqref="K1:L1048576">
    <cfRule type="containsText" dxfId="11" priority="30" operator="containsText" text="A$K$1">
      <formula>NOT(ISERROR(SEARCH("A$K$1",K1)))</formula>
    </cfRule>
    <cfRule type="containsText" dxfId="10" priority="31" operator="containsText" text="TRUE">
      <formula>NOT(ISERROR(SEARCH("TRUE",K1)))</formula>
    </cfRule>
  </conditionalFormatting>
  <conditionalFormatting sqref="K1:M1048576">
    <cfRule type="containsText" dxfId="9" priority="28" operator="containsText" text="TRUE">
      <formula>NOT(ISERROR(SEARCH("TRUE",K1)))</formula>
    </cfRule>
  </conditionalFormatting>
  <conditionalFormatting sqref="L1:L1048576">
    <cfRule type="containsText" dxfId="8" priority="22" operator="containsText" text="Best Sales">
      <formula>NOT(ISERROR(SEARCH("Best Sales",L1)))</formula>
    </cfRule>
    <cfRule type="containsText" dxfId="7" priority="23" operator="containsText" text="Best Sales">
      <formula>NOT(ISERROR(SEARCH("Best Sales",L1)))</formula>
    </cfRule>
  </conditionalFormatting>
  <conditionalFormatting sqref="M1:M1048576">
    <cfRule type="containsText" dxfId="6" priority="27" operator="containsText" text="TRUE">
      <formula>NOT(ISERROR(SEARCH("TRUE",M1)))</formula>
    </cfRule>
  </conditionalFormatting>
  <conditionalFormatting sqref="N1:N1048576">
    <cfRule type="containsText" dxfId="5" priority="24" operator="containsText" text="FALSE">
      <formula>NOT(ISERROR(SEARCH("FALSE",N1)))</formula>
    </cfRule>
    <cfRule type="containsText" dxfId="4" priority="25" operator="containsText" text="NOT">
      <formula>NOT(ISERROR(SEARCH("NOT",N1)))</formula>
    </cfRule>
    <cfRule type="containsText" dxfId="3" priority="26" operator="containsText" text="FALSE">
      <formula>NOT(ISERROR(SEARCH("FALSE",N1)))</formula>
    </cfRule>
  </conditionalFormatting>
  <conditionalFormatting sqref="O1:U1048576">
    <cfRule type="containsText" dxfId="2" priority="1" operator="containsText" text="TRUE">
      <formula>NOT(ISERROR(SEARCH("TRUE",O1)))</formula>
    </cfRule>
    <cfRule type="containsText" dxfId="1" priority="2" operator="containsText" text="A$K$1">
      <formula>NOT(ISERROR(SEARCH("A$K$1",O1)))</formula>
    </cfRule>
    <cfRule type="containsText" dxfId="0" priority="3" operator="containsText" text="TRUE">
      <formula>NOT(ISERROR(SEARCH("TRUE",O1)))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08D2-72FD-48F4-8401-2A9688B541BF}">
  <sheetPr>
    <tabColor theme="3" tint="0.249977111117893"/>
  </sheetPr>
  <dimension ref="A1:E19"/>
  <sheetViews>
    <sheetView workbookViewId="0">
      <selection activeCell="E20" sqref="E20"/>
    </sheetView>
  </sheetViews>
  <sheetFormatPr defaultRowHeight="14.4" x14ac:dyDescent="0.3"/>
  <cols>
    <col min="2" max="2" width="15.6640625" customWidth="1"/>
    <col min="3" max="3" width="41.21875" customWidth="1"/>
    <col min="4" max="4" width="32.44140625" customWidth="1"/>
    <col min="5" max="5" width="25.88671875" customWidth="1"/>
  </cols>
  <sheetData>
    <row r="1" spans="1:5" ht="14.4" customHeight="1" x14ac:dyDescent="0.3">
      <c r="A1" s="59" t="s">
        <v>103</v>
      </c>
      <c r="B1" s="60"/>
      <c r="C1" s="60"/>
      <c r="D1" s="60"/>
      <c r="E1" s="61"/>
    </row>
    <row r="2" spans="1:5" ht="14.4" customHeight="1" x14ac:dyDescent="0.3">
      <c r="A2" s="62"/>
      <c r="B2" s="63"/>
      <c r="C2" s="63"/>
      <c r="D2" s="63"/>
      <c r="E2" s="64"/>
    </row>
    <row r="3" spans="1:5" ht="15" customHeight="1" thickBot="1" x14ac:dyDescent="0.35">
      <c r="A3" s="65"/>
      <c r="B3" s="66"/>
      <c r="C3" s="66"/>
      <c r="D3" s="66"/>
      <c r="E3" s="67"/>
    </row>
    <row r="4" spans="1:5" ht="21.6" thickBot="1" x14ac:dyDescent="0.45">
      <c r="B4" s="68" t="s">
        <v>104</v>
      </c>
      <c r="C4" s="69"/>
      <c r="D4" s="69"/>
      <c r="E4" s="70"/>
    </row>
    <row r="5" spans="1:5" ht="15" thickBot="1" x14ac:dyDescent="0.35">
      <c r="B5" s="24" t="s">
        <v>105</v>
      </c>
      <c r="C5" s="25" t="s">
        <v>106</v>
      </c>
      <c r="D5" s="25" t="s">
        <v>107</v>
      </c>
      <c r="E5" s="26" t="s">
        <v>121</v>
      </c>
    </row>
    <row r="6" spans="1:5" x14ac:dyDescent="0.3">
      <c r="B6" s="27" t="s">
        <v>109</v>
      </c>
      <c r="C6" s="29" t="s">
        <v>115</v>
      </c>
      <c r="D6" s="31" t="s">
        <v>117</v>
      </c>
      <c r="E6" s="33">
        <f>AVERAGE(Revenue_DB[Unit Price ($)])</f>
        <v>206.98999999999987</v>
      </c>
    </row>
    <row r="7" spans="1:5" x14ac:dyDescent="0.3">
      <c r="B7" s="28" t="s">
        <v>110</v>
      </c>
      <c r="C7" s="30" t="s">
        <v>113</v>
      </c>
      <c r="D7" s="32" t="s">
        <v>118</v>
      </c>
      <c r="E7" s="34">
        <f>MEDIAN(Revenue_DB[Unit Price ($)])</f>
        <v>49.99</v>
      </c>
    </row>
    <row r="8" spans="1:5" x14ac:dyDescent="0.3">
      <c r="B8" s="28" t="s">
        <v>111</v>
      </c>
      <c r="C8" s="30" t="s">
        <v>114</v>
      </c>
      <c r="D8" s="32" t="s">
        <v>119</v>
      </c>
      <c r="E8" s="34">
        <f>_xlfn.MODE.SNGL(Revenue_DB[Unit Price ($)])</f>
        <v>29.99</v>
      </c>
    </row>
    <row r="9" spans="1:5" ht="14.4" customHeight="1" x14ac:dyDescent="0.3">
      <c r="B9" s="71" t="s">
        <v>112</v>
      </c>
      <c r="C9" s="74" t="s">
        <v>116</v>
      </c>
      <c r="D9" s="77" t="s">
        <v>120</v>
      </c>
      <c r="E9" s="34">
        <f t="array" ref="E9:E12">_xlfn.MODE.MULT(Revenue_DB[Unit Price ($)])</f>
        <v>29.99</v>
      </c>
    </row>
    <row r="10" spans="1:5" x14ac:dyDescent="0.3">
      <c r="B10" s="72"/>
      <c r="C10" s="75"/>
      <c r="D10" s="78"/>
      <c r="E10" s="34">
        <v>29.99</v>
      </c>
    </row>
    <row r="11" spans="1:5" x14ac:dyDescent="0.3">
      <c r="B11" s="72"/>
      <c r="C11" s="75"/>
      <c r="D11" s="78"/>
      <c r="E11" s="35">
        <v>29.99</v>
      </c>
    </row>
    <row r="12" spans="1:5" ht="15" thickBot="1" x14ac:dyDescent="0.35">
      <c r="B12" s="73"/>
      <c r="C12" s="76"/>
      <c r="D12" s="79"/>
      <c r="E12" s="36">
        <v>29.99</v>
      </c>
    </row>
    <row r="19" spans="2:2" x14ac:dyDescent="0.3">
      <c r="B19" s="18"/>
    </row>
  </sheetData>
  <mergeCells count="5">
    <mergeCell ref="A1:E3"/>
    <mergeCell ref="B4:E4"/>
    <mergeCell ref="B9:B12"/>
    <mergeCell ref="C9:C12"/>
    <mergeCell ref="D9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3349-FA99-44B7-B525-E60602D9479C}">
  <sheetPr>
    <tabColor theme="3" tint="0.249977111117893"/>
  </sheetPr>
  <dimension ref="A6:E20"/>
  <sheetViews>
    <sheetView topLeftCell="A9" workbookViewId="0">
      <selection activeCell="E28" sqref="E28"/>
    </sheetView>
  </sheetViews>
  <sheetFormatPr defaultRowHeight="14.4" x14ac:dyDescent="0.3"/>
  <cols>
    <col min="2" max="2" width="15.6640625" customWidth="1"/>
    <col min="3" max="3" width="29.21875" customWidth="1"/>
    <col min="4" max="4" width="38.5546875" customWidth="1"/>
    <col min="5" max="5" width="58.6640625" customWidth="1"/>
  </cols>
  <sheetData>
    <row r="6" spans="1:5" ht="15" thickBot="1" x14ac:dyDescent="0.35"/>
    <row r="7" spans="1:5" x14ac:dyDescent="0.3">
      <c r="A7" s="59" t="s">
        <v>103</v>
      </c>
      <c r="B7" s="60"/>
      <c r="C7" s="60"/>
      <c r="D7" s="60"/>
      <c r="E7" s="61"/>
    </row>
    <row r="8" spans="1:5" x14ac:dyDescent="0.3">
      <c r="A8" s="62"/>
      <c r="B8" s="63"/>
      <c r="C8" s="63"/>
      <c r="D8" s="63"/>
      <c r="E8" s="64"/>
    </row>
    <row r="9" spans="1:5" ht="15" thickBot="1" x14ac:dyDescent="0.35">
      <c r="A9" s="65"/>
      <c r="B9" s="66"/>
      <c r="C9" s="66"/>
      <c r="D9" s="66"/>
      <c r="E9" s="67"/>
    </row>
    <row r="10" spans="1:5" ht="21.6" thickBot="1" x14ac:dyDescent="0.45">
      <c r="B10" s="80" t="s">
        <v>122</v>
      </c>
      <c r="C10" s="81"/>
      <c r="D10" s="81"/>
      <c r="E10" s="82"/>
    </row>
    <row r="11" spans="1:5" ht="15" thickBot="1" x14ac:dyDescent="0.35">
      <c r="B11" s="44" t="s">
        <v>105</v>
      </c>
      <c r="C11" s="44" t="s">
        <v>106</v>
      </c>
      <c r="D11" s="47" t="s">
        <v>107</v>
      </c>
      <c r="E11" s="47" t="s">
        <v>150</v>
      </c>
    </row>
    <row r="12" spans="1:5" x14ac:dyDescent="0.3">
      <c r="B12" s="40" t="s">
        <v>123</v>
      </c>
      <c r="C12" s="29" t="s">
        <v>138</v>
      </c>
      <c r="D12" s="46" t="s">
        <v>141</v>
      </c>
      <c r="E12" s="48">
        <f>SUM(Revenue_DB[Total Revenue ($)])</f>
        <v>248886.22</v>
      </c>
    </row>
    <row r="13" spans="1:5" x14ac:dyDescent="0.3">
      <c r="B13" s="41" t="s">
        <v>124</v>
      </c>
      <c r="C13" s="30" t="s">
        <v>132</v>
      </c>
      <c r="D13" s="38" t="s">
        <v>142</v>
      </c>
      <c r="E13" s="34">
        <f>SUMIF(Revenue_DB[Region],"East",Revenue_DB[Total Revenue ($)])</f>
        <v>75950.210000000006</v>
      </c>
    </row>
    <row r="14" spans="1:5" x14ac:dyDescent="0.3">
      <c r="B14" s="41" t="s">
        <v>125</v>
      </c>
      <c r="C14" s="30" t="s">
        <v>139</v>
      </c>
      <c r="D14" s="38" t="s">
        <v>143</v>
      </c>
      <c r="E14" s="34">
        <f>MIN(Revenue_DB[Total Revenue ($)])</f>
        <v>39.96</v>
      </c>
    </row>
    <row r="15" spans="1:5" x14ac:dyDescent="0.3">
      <c r="B15" s="41" t="s">
        <v>126</v>
      </c>
      <c r="C15" s="30" t="s">
        <v>140</v>
      </c>
      <c r="D15" s="38" t="s">
        <v>144</v>
      </c>
      <c r="E15" s="34">
        <f>MAX(Revenue_DB[Total Revenue ($)])</f>
        <v>51934.6</v>
      </c>
    </row>
    <row r="16" spans="1:5" x14ac:dyDescent="0.3">
      <c r="B16" s="41" t="s">
        <v>127</v>
      </c>
      <c r="C16" s="30" t="s">
        <v>133</v>
      </c>
      <c r="D16" s="38" t="s">
        <v>145</v>
      </c>
      <c r="E16" s="34">
        <f>COUNT(Revenue_DB[Total Revenue ($)])</f>
        <v>50</v>
      </c>
    </row>
    <row r="17" spans="2:5" x14ac:dyDescent="0.3">
      <c r="B17" s="41" t="s">
        <v>128</v>
      </c>
      <c r="C17" s="30" t="s">
        <v>134</v>
      </c>
      <c r="D17" s="38" t="s">
        <v>146</v>
      </c>
      <c r="E17" s="34">
        <f>COUNTBLANK(Revenue_DB[Order ID])</f>
        <v>5</v>
      </c>
    </row>
    <row r="18" spans="2:5" x14ac:dyDescent="0.3">
      <c r="B18" s="41" t="s">
        <v>129</v>
      </c>
      <c r="C18" s="30" t="s">
        <v>135</v>
      </c>
      <c r="D18" s="38" t="s">
        <v>147</v>
      </c>
      <c r="E18" s="34">
        <f>COUNTIF(Revenue_DB[Region],"West")</f>
        <v>12</v>
      </c>
    </row>
    <row r="19" spans="2:5" x14ac:dyDescent="0.3">
      <c r="B19" s="41" t="s">
        <v>130</v>
      </c>
      <c r="C19" s="30" t="s">
        <v>136</v>
      </c>
      <c r="D19" s="38" t="s">
        <v>148</v>
      </c>
      <c r="E19" s="34">
        <f>AVERAGEIF(Revenue_DB[Region],"North",Revenue_DB[Total Revenue ($)])</f>
        <v>2825.5045454545452</v>
      </c>
    </row>
    <row r="20" spans="2:5" ht="29.4" thickBot="1" x14ac:dyDescent="0.35">
      <c r="B20" s="42" t="s">
        <v>131</v>
      </c>
      <c r="C20" s="50" t="s">
        <v>137</v>
      </c>
      <c r="D20" s="45" t="s">
        <v>149</v>
      </c>
      <c r="E20" s="43">
        <f>AVERAGEIFS(Revenue_DB[Total Revenue ($)],Revenue_DB[Region],"South",Revenue_DB[Category],"Furniture")</f>
        <v>6772.2625000000007</v>
      </c>
    </row>
  </sheetData>
  <mergeCells count="2">
    <mergeCell ref="A7:E9"/>
    <mergeCell ref="B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B811-2855-432A-9CF3-61245AF6B2E8}">
  <sheetPr>
    <tabColor theme="3" tint="0.249977111117893"/>
  </sheetPr>
  <dimension ref="A1:E12"/>
  <sheetViews>
    <sheetView tabSelected="1" workbookViewId="0">
      <selection activeCell="E19" sqref="E19"/>
    </sheetView>
  </sheetViews>
  <sheetFormatPr defaultRowHeight="14.4" x14ac:dyDescent="0.3"/>
  <cols>
    <col min="2" max="2" width="13.6640625" customWidth="1"/>
    <col min="3" max="3" width="40.77734375" customWidth="1"/>
    <col min="4" max="4" width="41.88671875" customWidth="1"/>
    <col min="5" max="5" width="55.5546875" customWidth="1"/>
  </cols>
  <sheetData>
    <row r="1" spans="1:5" x14ac:dyDescent="0.3">
      <c r="A1" s="59" t="s">
        <v>103</v>
      </c>
      <c r="B1" s="60"/>
      <c r="C1" s="60"/>
      <c r="D1" s="60"/>
      <c r="E1" s="61"/>
    </row>
    <row r="2" spans="1:5" x14ac:dyDescent="0.3">
      <c r="A2" s="62"/>
      <c r="B2" s="63"/>
      <c r="C2" s="63"/>
      <c r="D2" s="63"/>
      <c r="E2" s="64"/>
    </row>
    <row r="3" spans="1:5" ht="15" thickBot="1" x14ac:dyDescent="0.35">
      <c r="A3" s="65"/>
      <c r="B3" s="66"/>
      <c r="C3" s="66"/>
      <c r="D3" s="66"/>
      <c r="E3" s="67"/>
    </row>
    <row r="4" spans="1:5" ht="21.6" thickBot="1" x14ac:dyDescent="0.45">
      <c r="B4" s="68" t="s">
        <v>151</v>
      </c>
      <c r="C4" s="69"/>
      <c r="D4" s="69"/>
      <c r="E4" s="70"/>
    </row>
    <row r="5" spans="1:5" ht="15" thickBot="1" x14ac:dyDescent="0.35">
      <c r="B5" s="47" t="s">
        <v>105</v>
      </c>
      <c r="C5" s="47" t="s">
        <v>106</v>
      </c>
      <c r="D5" s="47" t="s">
        <v>107</v>
      </c>
      <c r="E5" s="47" t="s">
        <v>108</v>
      </c>
    </row>
    <row r="6" spans="1:5" x14ac:dyDescent="0.3">
      <c r="B6" s="40" t="s">
        <v>152</v>
      </c>
      <c r="C6" s="49" t="s">
        <v>156</v>
      </c>
      <c r="D6" s="37" t="s">
        <v>160</v>
      </c>
      <c r="E6" s="83" t="s">
        <v>165</v>
      </c>
    </row>
    <row r="7" spans="1:5" x14ac:dyDescent="0.3">
      <c r="B7" s="41" t="s">
        <v>153</v>
      </c>
      <c r="C7" s="30" t="s">
        <v>157</v>
      </c>
      <c r="D7" s="38" t="s">
        <v>161</v>
      </c>
      <c r="E7" s="84"/>
    </row>
    <row r="8" spans="1:5" x14ac:dyDescent="0.3">
      <c r="B8" s="41" t="s">
        <v>154</v>
      </c>
      <c r="C8" s="30" t="s">
        <v>158</v>
      </c>
      <c r="D8" s="38" t="s">
        <v>162</v>
      </c>
      <c r="E8" s="84"/>
    </row>
    <row r="9" spans="1:5" ht="15" thickBot="1" x14ac:dyDescent="0.35">
      <c r="B9" s="42" t="s">
        <v>155</v>
      </c>
      <c r="C9" s="50" t="s">
        <v>159</v>
      </c>
      <c r="D9" s="39" t="s">
        <v>163</v>
      </c>
      <c r="E9" s="85"/>
    </row>
    <row r="10" spans="1:5" x14ac:dyDescent="0.3">
      <c r="B10" s="19"/>
      <c r="C10" s="20"/>
      <c r="D10" s="21"/>
      <c r="E10" s="22"/>
    </row>
    <row r="11" spans="1:5" x14ac:dyDescent="0.3">
      <c r="B11" s="19"/>
      <c r="C11" s="20"/>
      <c r="D11" s="21"/>
      <c r="E11" s="23"/>
    </row>
    <row r="12" spans="1:5" x14ac:dyDescent="0.3">
      <c r="B12" s="19"/>
      <c r="C12" s="20"/>
      <c r="D12" s="21"/>
      <c r="E12" s="23"/>
    </row>
  </sheetData>
  <mergeCells count="3">
    <mergeCell ref="A1:E3"/>
    <mergeCell ref="B4:E4"/>
    <mergeCell ref="E6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52A9-C8F0-4F8F-BD5E-EB51277778B6}">
  <sheetPr>
    <tabColor theme="3" tint="0.249977111117893"/>
  </sheetPr>
  <dimension ref="A1:E12"/>
  <sheetViews>
    <sheetView workbookViewId="0">
      <selection activeCell="E6" sqref="E6:E12"/>
    </sheetView>
  </sheetViews>
  <sheetFormatPr defaultRowHeight="14.4" x14ac:dyDescent="0.3"/>
  <cols>
    <col min="2" max="2" width="13.88671875" customWidth="1"/>
    <col min="3" max="3" width="23.77734375" customWidth="1"/>
    <col min="4" max="4" width="29.109375" customWidth="1"/>
    <col min="5" max="5" width="60.88671875" customWidth="1"/>
  </cols>
  <sheetData>
    <row r="1" spans="1:5" x14ac:dyDescent="0.3">
      <c r="A1" s="59" t="s">
        <v>103</v>
      </c>
      <c r="B1" s="60"/>
      <c r="C1" s="60"/>
      <c r="D1" s="60"/>
      <c r="E1" s="61"/>
    </row>
    <row r="2" spans="1:5" x14ac:dyDescent="0.3">
      <c r="A2" s="62"/>
      <c r="B2" s="63"/>
      <c r="C2" s="63"/>
      <c r="D2" s="63"/>
      <c r="E2" s="64"/>
    </row>
    <row r="3" spans="1:5" ht="15" thickBot="1" x14ac:dyDescent="0.35">
      <c r="A3" s="65"/>
      <c r="B3" s="66"/>
      <c r="C3" s="66"/>
      <c r="D3" s="66"/>
      <c r="E3" s="67"/>
    </row>
    <row r="4" spans="1:5" ht="21.6" thickBot="1" x14ac:dyDescent="0.45">
      <c r="B4" s="80" t="s">
        <v>173</v>
      </c>
      <c r="C4" s="81"/>
      <c r="D4" s="81"/>
      <c r="E4" s="82"/>
    </row>
    <row r="5" spans="1:5" ht="15" thickBot="1" x14ac:dyDescent="0.35">
      <c r="B5" s="47" t="s">
        <v>105</v>
      </c>
      <c r="C5" s="47" t="s">
        <v>106</v>
      </c>
      <c r="D5" s="47" t="s">
        <v>107</v>
      </c>
      <c r="E5" s="47" t="s">
        <v>108</v>
      </c>
    </row>
    <row r="6" spans="1:5" x14ac:dyDescent="0.3">
      <c r="B6" s="40" t="s">
        <v>166</v>
      </c>
      <c r="C6" s="29" t="s">
        <v>174</v>
      </c>
      <c r="D6" s="37" t="s">
        <v>180</v>
      </c>
      <c r="E6" s="83" t="s">
        <v>165</v>
      </c>
    </row>
    <row r="7" spans="1:5" x14ac:dyDescent="0.3">
      <c r="B7" s="41" t="s">
        <v>167</v>
      </c>
      <c r="C7" s="30" t="s">
        <v>175</v>
      </c>
      <c r="D7" s="38" t="s">
        <v>181</v>
      </c>
      <c r="E7" s="84"/>
    </row>
    <row r="8" spans="1:5" x14ac:dyDescent="0.3">
      <c r="B8" s="41" t="s">
        <v>168</v>
      </c>
      <c r="C8" s="30" t="s">
        <v>176</v>
      </c>
      <c r="D8" s="38" t="s">
        <v>182</v>
      </c>
      <c r="E8" s="84"/>
    </row>
    <row r="9" spans="1:5" x14ac:dyDescent="0.3">
      <c r="B9" s="41" t="s">
        <v>169</v>
      </c>
      <c r="C9" s="30" t="s">
        <v>183</v>
      </c>
      <c r="D9" s="58" t="s">
        <v>184</v>
      </c>
      <c r="E9" s="84"/>
    </row>
    <row r="10" spans="1:5" x14ac:dyDescent="0.3">
      <c r="B10" s="41" t="s">
        <v>170</v>
      </c>
      <c r="C10" s="30" t="s">
        <v>177</v>
      </c>
      <c r="D10" s="38" t="s">
        <v>185</v>
      </c>
      <c r="E10" s="84"/>
    </row>
    <row r="11" spans="1:5" x14ac:dyDescent="0.3">
      <c r="B11" s="41" t="s">
        <v>171</v>
      </c>
      <c r="C11" s="30" t="s">
        <v>178</v>
      </c>
      <c r="D11" s="38" t="s">
        <v>186</v>
      </c>
      <c r="E11" s="84"/>
    </row>
    <row r="12" spans="1:5" ht="15" thickBot="1" x14ac:dyDescent="0.35">
      <c r="B12" s="42" t="s">
        <v>172</v>
      </c>
      <c r="C12" s="57" t="s">
        <v>179</v>
      </c>
      <c r="D12" s="45" t="s">
        <v>187</v>
      </c>
      <c r="E12" s="85"/>
    </row>
  </sheetData>
  <mergeCells count="3">
    <mergeCell ref="A1:E3"/>
    <mergeCell ref="B4:E4"/>
    <mergeCell ref="E6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Order_Revenue_DB</vt:lpstr>
      <vt:lpstr>Statistical</vt:lpstr>
      <vt:lpstr>Mathematical_Aggregate</vt:lpstr>
      <vt:lpstr>Logical</vt:lpstr>
      <vt:lpstr>Text_Functions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2026-10-26T12:07:04Z</dcterms:created>
  <dcterms:modified xsi:type="dcterms:W3CDTF">2026-10-28T15:06:59Z</dcterms:modified>
</cp:coreProperties>
</file>